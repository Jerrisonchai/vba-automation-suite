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rison Chai\Documents\09 Github\GH02 Repositories\vba-utility\vba-automation-suite\LockVBAProject\"/>
    </mc:Choice>
  </mc:AlternateContent>
  <xr:revisionPtr revIDLastSave="0" documentId="13_ncr:1_{4C942B5F-4E27-4F23-A465-C2F7BBBEDDB2}" xr6:coauthVersionLast="47" xr6:coauthVersionMax="47" xr10:uidLastSave="{00000000-0000-0000-0000-000000000000}"/>
  <bookViews>
    <workbookView xWindow="-120" yWindow="-120" windowWidth="29040" windowHeight="15720" xr2:uid="{DEC9EAD3-8828-4C08-B805-F9E1C4524DF2}"/>
  </bookViews>
  <sheets>
    <sheet name="Dashboard" sheetId="2" r:id="rId1"/>
    <sheet name="Data" sheetId="1" r:id="rId2"/>
    <sheet name="LOG" sheetId="4" r:id="rId3"/>
  </sheets>
  <functionGroups builtInGroupCount="19"/>
  <definedNames>
    <definedName name="_JERR" hidden="1">"Template produced by Jerrison"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5" i="1" l="1"/>
  <c r="I35" i="1" s="1"/>
  <c r="V34" i="1"/>
  <c r="U34" i="1"/>
  <c r="T34" i="1" s="1"/>
  <c r="S34" i="1"/>
  <c r="R34" i="1"/>
  <c r="Q34" i="1"/>
  <c r="P34" i="1" s="1"/>
  <c r="O34" i="1"/>
  <c r="M34" i="1"/>
  <c r="I34" i="1"/>
  <c r="H34" i="1"/>
  <c r="G34" i="1"/>
  <c r="F34" i="1" a="1"/>
  <c r="F34" i="1" s="1"/>
  <c r="L34" i="1" s="1"/>
  <c r="V33" i="1"/>
  <c r="U33" i="1"/>
  <c r="T33" i="1" s="1"/>
  <c r="S33" i="1"/>
  <c r="R33" i="1"/>
  <c r="Q33" i="1"/>
  <c r="P33" i="1" s="1"/>
  <c r="O33" i="1"/>
  <c r="M33" i="1"/>
  <c r="H33" i="1"/>
  <c r="I33" i="1" s="1"/>
  <c r="G33" i="1"/>
  <c r="F33" i="1" a="1"/>
  <c r="F33" i="1" s="1"/>
  <c r="L33" i="1" s="1"/>
  <c r="V32" i="1"/>
  <c r="U32" i="1"/>
  <c r="T32" i="1" s="1"/>
  <c r="S32" i="1"/>
  <c r="R32" i="1"/>
  <c r="Q32" i="1"/>
  <c r="P32" i="1" s="1"/>
  <c r="O32" i="1"/>
  <c r="M32" i="1"/>
  <c r="H32" i="1"/>
  <c r="I32" i="1" s="1"/>
  <c r="G32" i="1"/>
  <c r="F32" i="1" a="1"/>
  <c r="F32" i="1" s="1"/>
  <c r="L32" i="1" s="1"/>
  <c r="V31" i="1"/>
  <c r="U31" i="1"/>
  <c r="T31" i="1" s="1"/>
  <c r="S31" i="1"/>
  <c r="R31" i="1"/>
  <c r="Q31" i="1"/>
  <c r="P31" i="1" s="1"/>
  <c r="O31" i="1"/>
  <c r="M31" i="1"/>
  <c r="H31" i="1"/>
  <c r="I31" i="1" s="1"/>
  <c r="G31" i="1"/>
  <c r="F31" i="1" a="1"/>
  <c r="F31" i="1" s="1"/>
  <c r="L31" i="1" s="1"/>
  <c r="V30" i="1"/>
  <c r="U30" i="1"/>
  <c r="T30" i="1" s="1"/>
  <c r="S30" i="1"/>
  <c r="R30" i="1"/>
  <c r="Q30" i="1"/>
  <c r="P30" i="1" s="1"/>
  <c r="O30" i="1"/>
  <c r="M30" i="1"/>
  <c r="H30" i="1"/>
  <c r="I30" i="1" s="1"/>
  <c r="G30" i="1"/>
  <c r="F30" i="1" a="1"/>
  <c r="F30" i="1" s="1"/>
  <c r="L30" i="1" s="1"/>
  <c r="V29" i="1"/>
  <c r="U29" i="1"/>
  <c r="T29" i="1" s="1"/>
  <c r="S29" i="1"/>
  <c r="R29" i="1"/>
  <c r="Q29" i="1"/>
  <c r="P29" i="1" s="1"/>
  <c r="O29" i="1"/>
  <c r="M29" i="1"/>
  <c r="H29" i="1"/>
  <c r="I29" i="1" s="1"/>
  <c r="G29" i="1"/>
  <c r="F29" i="1" a="1"/>
  <c r="F29" i="1" s="1"/>
  <c r="L29" i="1" s="1"/>
  <c r="V28" i="1"/>
  <c r="U28" i="1"/>
  <c r="T28" i="1" s="1"/>
  <c r="S28" i="1"/>
  <c r="R28" i="1"/>
  <c r="Q28" i="1"/>
  <c r="P28" i="1" s="1"/>
  <c r="O28" i="1"/>
  <c r="M28" i="1"/>
  <c r="H28" i="1"/>
  <c r="I28" i="1" s="1"/>
  <c r="G28" i="1"/>
  <c r="F28" i="1" a="1"/>
  <c r="F28" i="1" s="1"/>
  <c r="L28" i="1" s="1"/>
  <c r="V27" i="1"/>
  <c r="U27" i="1"/>
  <c r="T27" i="1" s="1"/>
  <c r="S27" i="1"/>
  <c r="R27" i="1"/>
  <c r="Q27" i="1"/>
  <c r="P27" i="1" s="1"/>
  <c r="O27" i="1"/>
  <c r="M27" i="1"/>
  <c r="H27" i="1"/>
  <c r="I27" i="1" s="1"/>
  <c r="G27" i="1"/>
  <c r="F27" i="1" a="1"/>
  <c r="F27" i="1" s="1"/>
  <c r="L27" i="1" s="1"/>
  <c r="V26" i="1"/>
  <c r="U26" i="1"/>
  <c r="T26" i="1" s="1"/>
  <c r="S26" i="1"/>
  <c r="R26" i="1"/>
  <c r="Q26" i="1"/>
  <c r="P26" i="1" s="1"/>
  <c r="O26" i="1"/>
  <c r="M26" i="1"/>
  <c r="H26" i="1"/>
  <c r="I26" i="1" s="1"/>
  <c r="G26" i="1"/>
  <c r="F26" i="1" a="1"/>
  <c r="F26" i="1" s="1"/>
  <c r="L26" i="1" s="1"/>
  <c r="V25" i="1"/>
  <c r="U25" i="1"/>
  <c r="T25" i="1" s="1"/>
  <c r="S25" i="1"/>
  <c r="R25" i="1"/>
  <c r="Q25" i="1"/>
  <c r="P25" i="1" s="1"/>
  <c r="O25" i="1"/>
  <c r="M25" i="1"/>
  <c r="I25" i="1"/>
  <c r="H25" i="1"/>
  <c r="G25" i="1"/>
  <c r="F25" i="1"/>
  <c r="L25" i="1" s="1"/>
  <c r="F25" i="1" a="1"/>
  <c r="V24" i="1"/>
  <c r="U24" i="1"/>
  <c r="T24" i="1"/>
  <c r="S24" i="1"/>
  <c r="R24" i="1"/>
  <c r="Q24" i="1"/>
  <c r="P24" i="1"/>
  <c r="O24" i="1"/>
  <c r="M24" i="1"/>
  <c r="H24" i="1"/>
  <c r="I24" i="1" s="1"/>
  <c r="G24" i="1"/>
  <c r="F24" i="1" a="1"/>
  <c r="F24" i="1" s="1"/>
  <c r="L24" i="1" s="1"/>
  <c r="V23" i="1"/>
  <c r="U23" i="1"/>
  <c r="T23" i="1"/>
  <c r="S23" i="1"/>
  <c r="R23" i="1"/>
  <c r="Q23" i="1"/>
  <c r="P23" i="1" s="1"/>
  <c r="O23" i="1"/>
  <c r="M23" i="1"/>
  <c r="H23" i="1"/>
  <c r="I23" i="1" s="1"/>
  <c r="G23" i="1"/>
  <c r="F23" i="1"/>
  <c r="L23" i="1" s="1"/>
  <c r="F23" i="1" a="1"/>
  <c r="V22" i="1"/>
  <c r="U22" i="1"/>
  <c r="T22" i="1" s="1"/>
  <c r="S22" i="1"/>
  <c r="R22" i="1"/>
  <c r="Q22" i="1"/>
  <c r="P22" i="1" s="1"/>
  <c r="O22" i="1"/>
  <c r="M22" i="1"/>
  <c r="H22" i="1"/>
  <c r="I22" i="1" s="1"/>
  <c r="G22" i="1"/>
  <c r="F22" i="1"/>
  <c r="L22" i="1" s="1"/>
  <c r="F22" i="1" a="1"/>
  <c r="V21" i="1"/>
  <c r="U21" i="1"/>
  <c r="T21" i="1" s="1"/>
  <c r="S21" i="1"/>
  <c r="R21" i="1"/>
  <c r="Q21" i="1"/>
  <c r="P21" i="1"/>
  <c r="O21" i="1"/>
  <c r="M21" i="1"/>
  <c r="H21" i="1"/>
  <c r="I21" i="1" s="1"/>
  <c r="G21" i="1"/>
  <c r="F21" i="1" a="1"/>
  <c r="F21" i="1" s="1"/>
  <c r="L21" i="1" s="1"/>
  <c r="V20" i="1"/>
  <c r="U20" i="1"/>
  <c r="T20" i="1"/>
  <c r="S20" i="1"/>
  <c r="R20" i="1"/>
  <c r="Q20" i="1"/>
  <c r="P20" i="1" s="1"/>
  <c r="O20" i="1"/>
  <c r="M20" i="1"/>
  <c r="H20" i="1"/>
  <c r="I20" i="1" s="1"/>
  <c r="G20" i="1"/>
  <c r="F20" i="1"/>
  <c r="L20" i="1" s="1"/>
  <c r="F20" i="1" a="1"/>
  <c r="V19" i="1"/>
  <c r="U19" i="1"/>
  <c r="T19" i="1" s="1"/>
  <c r="S19" i="1"/>
  <c r="R19" i="1"/>
  <c r="Q19" i="1"/>
  <c r="P19" i="1" s="1"/>
  <c r="O19" i="1"/>
  <c r="M19" i="1"/>
  <c r="H19" i="1"/>
  <c r="I19" i="1" s="1"/>
  <c r="G19" i="1"/>
  <c r="F19" i="1"/>
  <c r="L19" i="1" s="1"/>
  <c r="F19" i="1" a="1"/>
  <c r="V18" i="1"/>
  <c r="U18" i="1"/>
  <c r="T18" i="1" s="1"/>
  <c r="S18" i="1"/>
  <c r="R18" i="1"/>
  <c r="Q18" i="1"/>
  <c r="P18" i="1"/>
  <c r="O18" i="1"/>
  <c r="M18" i="1"/>
  <c r="H18" i="1"/>
  <c r="I18" i="1" s="1"/>
  <c r="G18" i="1"/>
  <c r="F18" i="1" a="1"/>
  <c r="F18" i="1" s="1"/>
  <c r="L18" i="1" s="1"/>
  <c r="V17" i="1"/>
  <c r="U17" i="1"/>
  <c r="T17" i="1"/>
  <c r="S17" i="1"/>
  <c r="R17" i="1"/>
  <c r="Q17" i="1"/>
  <c r="P17" i="1" s="1"/>
  <c r="O17" i="1"/>
  <c r="M17" i="1"/>
  <c r="H17" i="1"/>
  <c r="I17" i="1" s="1"/>
  <c r="G17" i="1"/>
  <c r="F17" i="1"/>
  <c r="L17" i="1" s="1"/>
  <c r="F17" i="1" a="1"/>
  <c r="V16" i="1"/>
  <c r="U16" i="1"/>
  <c r="T16" i="1" s="1"/>
  <c r="S16" i="1"/>
  <c r="R16" i="1"/>
  <c r="Q16" i="1"/>
  <c r="P16" i="1" s="1"/>
  <c r="O16" i="1"/>
  <c r="M16" i="1"/>
  <c r="H16" i="1"/>
  <c r="I16" i="1" s="1"/>
  <c r="G16" i="1"/>
  <c r="F16" i="1"/>
  <c r="L16" i="1" s="1"/>
  <c r="F16" i="1" a="1"/>
  <c r="V15" i="1"/>
  <c r="U15" i="1"/>
  <c r="T15" i="1" s="1"/>
  <c r="S15" i="1"/>
  <c r="R15" i="1"/>
  <c r="Q15" i="1"/>
  <c r="P15" i="1"/>
  <c r="O15" i="1"/>
  <c r="M15" i="1"/>
  <c r="H15" i="1"/>
  <c r="I15" i="1" s="1"/>
  <c r="G15" i="1"/>
  <c r="F15" i="1" a="1"/>
  <c r="F15" i="1" s="1"/>
  <c r="L15" i="1" s="1"/>
  <c r="V14" i="1"/>
  <c r="U14" i="1"/>
  <c r="T14" i="1"/>
  <c r="S14" i="1"/>
  <c r="R14" i="1"/>
  <c r="Q14" i="1"/>
  <c r="P14" i="1" s="1"/>
  <c r="O14" i="1"/>
  <c r="M14" i="1"/>
  <c r="H14" i="1"/>
  <c r="I14" i="1" s="1"/>
  <c r="G14" i="1"/>
  <c r="F14" i="1"/>
  <c r="L14" i="1" s="1"/>
  <c r="F14" i="1" a="1"/>
  <c r="V13" i="1"/>
  <c r="U13" i="1"/>
  <c r="T13" i="1" s="1"/>
  <c r="S13" i="1"/>
  <c r="R13" i="1"/>
  <c r="Q13" i="1"/>
  <c r="P13" i="1" s="1"/>
  <c r="O13" i="1"/>
  <c r="M13" i="1"/>
  <c r="H13" i="1"/>
  <c r="I13" i="1" s="1"/>
  <c r="G13" i="1"/>
  <c r="F13" i="1"/>
  <c r="L13" i="1" s="1"/>
  <c r="F13" i="1" a="1"/>
  <c r="V12" i="1"/>
  <c r="U12" i="1"/>
  <c r="T12" i="1" s="1"/>
  <c r="S12" i="1"/>
  <c r="R12" i="1"/>
  <c r="Q12" i="1"/>
  <c r="P12" i="1"/>
  <c r="O12" i="1"/>
  <c r="M12" i="1"/>
  <c r="H12" i="1"/>
  <c r="I12" i="1" s="1"/>
  <c r="G12" i="1"/>
  <c r="F12" i="1" a="1"/>
  <c r="F12" i="1" s="1"/>
  <c r="L12" i="1" s="1"/>
  <c r="V11" i="1"/>
  <c r="U11" i="1"/>
  <c r="T11" i="1"/>
  <c r="S11" i="1"/>
  <c r="R11" i="1"/>
  <c r="Q11" i="1"/>
  <c r="P11" i="1" s="1"/>
  <c r="O11" i="1"/>
  <c r="M11" i="1"/>
  <c r="H11" i="1"/>
  <c r="I11" i="1" s="1"/>
  <c r="G11" i="1"/>
  <c r="F11" i="1"/>
  <c r="L11" i="1" s="1"/>
  <c r="F11" i="1" a="1"/>
  <c r="V10" i="1"/>
  <c r="U10" i="1"/>
  <c r="T10" i="1" s="1"/>
  <c r="S10" i="1"/>
  <c r="R10" i="1"/>
  <c r="Q10" i="1"/>
  <c r="P10" i="1" s="1"/>
  <c r="O10" i="1"/>
  <c r="M10" i="1"/>
  <c r="H10" i="1"/>
  <c r="I10" i="1" s="1"/>
  <c r="G10" i="1"/>
  <c r="F10" i="1"/>
  <c r="L10" i="1" s="1"/>
  <c r="F10" i="1" a="1"/>
  <c r="V9" i="1"/>
  <c r="U9" i="1"/>
  <c r="T9" i="1" s="1"/>
  <c r="S9" i="1"/>
  <c r="R9" i="1"/>
  <c r="Q9" i="1"/>
  <c r="P9" i="1"/>
  <c r="O9" i="1"/>
  <c r="M9" i="1"/>
  <c r="H9" i="1"/>
  <c r="I9" i="1" s="1"/>
  <c r="G9" i="1"/>
  <c r="F9" i="1" a="1"/>
  <c r="F9" i="1" s="1"/>
  <c r="L9" i="1" s="1"/>
  <c r="V8" i="1"/>
  <c r="U8" i="1"/>
  <c r="T8" i="1" s="1"/>
  <c r="S8" i="1"/>
  <c r="R8" i="1"/>
  <c r="Q8" i="1"/>
  <c r="P8" i="1" s="1"/>
  <c r="O8" i="1"/>
  <c r="M8" i="1"/>
  <c r="H8" i="1"/>
  <c r="I8" i="1" s="1"/>
  <c r="G8" i="1"/>
  <c r="F8" i="1" a="1"/>
  <c r="F8" i="1" s="1"/>
  <c r="L8" i="1" s="1"/>
  <c r="V7" i="1"/>
  <c r="U7" i="1"/>
  <c r="T7" i="1" s="1"/>
  <c r="S7" i="1"/>
  <c r="R7" i="1"/>
  <c r="Q7" i="1"/>
  <c r="P7" i="1" s="1"/>
  <c r="O7" i="1"/>
  <c r="M7" i="1"/>
  <c r="I7" i="1"/>
  <c r="H7" i="1"/>
  <c r="G7" i="1"/>
  <c r="F7" i="1" a="1"/>
  <c r="F7" i="1" s="1"/>
  <c r="L7" i="1" s="1"/>
  <c r="V6" i="1"/>
  <c r="U6" i="1"/>
  <c r="T6" i="1" s="1"/>
  <c r="S6" i="1"/>
  <c r="R6" i="1"/>
  <c r="Q6" i="1"/>
  <c r="P6" i="1" s="1"/>
  <c r="O6" i="1"/>
  <c r="M6" i="1"/>
  <c r="H6" i="1"/>
  <c r="I6" i="1" s="1"/>
  <c r="G6" i="1"/>
  <c r="F6" i="1" a="1"/>
  <c r="F6" i="1" s="1"/>
  <c r="L6" i="1" s="1"/>
  <c r="V5" i="1"/>
  <c r="U5" i="1"/>
  <c r="T5" i="1" s="1"/>
  <c r="S5" i="1"/>
  <c r="R5" i="1"/>
  <c r="Q5" i="1"/>
  <c r="P5" i="1" s="1"/>
  <c r="O5" i="1"/>
  <c r="M5" i="1"/>
  <c r="H5" i="1"/>
  <c r="I5" i="1" s="1"/>
  <c r="G5" i="1"/>
  <c r="F5" i="1" a="1"/>
  <c r="F5" i="1" s="1"/>
  <c r="L5" i="1" s="1"/>
  <c r="V4" i="1"/>
  <c r="U4" i="1"/>
  <c r="T4" i="1" s="1"/>
  <c r="S4" i="1"/>
  <c r="R4" i="1"/>
  <c r="Q4" i="1"/>
  <c r="P4" i="1" s="1"/>
  <c r="O4" i="1"/>
  <c r="M4" i="1"/>
  <c r="H4" i="1"/>
  <c r="I4" i="1" s="1"/>
  <c r="G4" i="1"/>
  <c r="F4" i="1" a="1"/>
  <c r="F4" i="1" s="1"/>
  <c r="L4" i="1" s="1"/>
  <c r="V3" i="1"/>
  <c r="U3" i="1"/>
  <c r="T3" i="1" s="1"/>
  <c r="S3" i="1"/>
  <c r="R3" i="1"/>
  <c r="Q3" i="1"/>
  <c r="P3" i="1" s="1"/>
  <c r="O3" i="1"/>
  <c r="M3" i="1"/>
  <c r="H3" i="1"/>
  <c r="I3" i="1" s="1"/>
  <c r="G3" i="1"/>
  <c r="F3" i="1" a="1"/>
  <c r="F3" i="1" s="1"/>
  <c r="L3" i="1" s="1"/>
  <c r="V2" i="1"/>
  <c r="U2" i="1"/>
  <c r="T2" i="1" s="1"/>
  <c r="S2" i="1"/>
  <c r="R2" i="1"/>
  <c r="Q2" i="1"/>
  <c r="P2" i="1" s="1"/>
  <c r="O2" i="1"/>
  <c r="M2" i="1"/>
  <c r="H2" i="1"/>
  <c r="I2" i="1" s="1"/>
  <c r="G2" i="1"/>
  <c r="F2" i="1" a="1"/>
  <c r="F2" i="1" s="1"/>
  <c r="L2" i="1" s="1"/>
</calcChain>
</file>

<file path=xl/sharedStrings.xml><?xml version="1.0" encoding="utf-8"?>
<sst xmlns="http://schemas.openxmlformats.org/spreadsheetml/2006/main" count="123" uniqueCount="98">
  <si>
    <t>File Name</t>
  </si>
  <si>
    <t>File Path</t>
  </si>
  <si>
    <t>File Creation</t>
  </si>
  <si>
    <t>File Last Modified</t>
  </si>
  <si>
    <t>File Size</t>
  </si>
  <si>
    <t>File Folder Location</t>
  </si>
  <si>
    <t>Time Used (Days)</t>
  </si>
  <si>
    <t>FileType</t>
  </si>
  <si>
    <t>Category</t>
  </si>
  <si>
    <t>Count of CODE</t>
  </si>
  <si>
    <t>CoC exclude Comment</t>
  </si>
  <si>
    <t>Subfolder</t>
  </si>
  <si>
    <t>Time Used days</t>
  </si>
  <si>
    <t>Data Validation</t>
  </si>
  <si>
    <t>Years</t>
  </si>
  <si>
    <t>Quarters</t>
  </si>
  <si>
    <t>Month</t>
  </si>
  <si>
    <t>Day</t>
  </si>
  <si>
    <t>00 MyWork monthly progress - review.txt</t>
  </si>
  <si>
    <t>C:\Users\Jerrison Chai\Documents\00 Shuei Company Documents\00 MyWork monthly progress - review.txt</t>
  </si>
  <si>
    <t>01 Building VBA team.txt</t>
  </si>
  <si>
    <t>C:\Users\Jerrison Chai\Documents\00 Shuei Company Documents\01 Building VBA team.txt</t>
  </si>
  <si>
    <t>02 Advanced Excel Skill Training.txt</t>
  </si>
  <si>
    <t>C:\Users\Jerrison Chai\Documents\00 Shuei Company Documents\02 Advanced Excel Skill Training.txt</t>
  </si>
  <si>
    <t>03 List of monthly excel challenges.txt</t>
  </si>
  <si>
    <t>C:\Users\Jerrison Chai\Documents\00 Shuei Company Documents\03 List of monthly excel challenges.txt</t>
  </si>
  <si>
    <t>04 Checklist for 21 CFR Part 11 Compliance.txt</t>
  </si>
  <si>
    <t>C:\Users\Jerrison Chai\Documents\00 Shuei Company Documents\04 Checklist for 21 CFR Part 11 Compliance.txt</t>
  </si>
  <si>
    <t>21 CFR Part 11 Compliance Checklist.xlsx</t>
  </si>
  <si>
    <t>C:\Users\Jerrison Chai\Documents\00 Shuei Company Documents\21 CFR Part 11 Compliance Checklist.xlsx</t>
  </si>
  <si>
    <t>21-cfr-part-11-compliance-checklist-pdf.pdf</t>
  </si>
  <si>
    <t>C:\Users\Jerrison Chai\Documents\00 Shuei Company Documents\21-cfr-part-11-compliance-checklist-pdf.pdf</t>
  </si>
  <si>
    <t>Code review 20241119.txt</t>
  </si>
  <si>
    <t>C:\Users\Jerrison Chai\Documents\00 Shuei Company Documents\Code review 20241119.txt</t>
  </si>
  <si>
    <t>Employment Agreement 202401.pdf</t>
  </si>
  <si>
    <t>C:\Users\Jerrison Chai\Documents\00 Shuei Company Documents\Employment Agreement 202401.pdf</t>
  </si>
  <si>
    <t>Medical Claim Form.pdf</t>
  </si>
  <si>
    <t>C:\Users\Jerrison Chai\Documents\00 Shuei Company Documents\Medical Claim Form.pdf</t>
  </si>
  <si>
    <t>Personal particulars to HR.pdf</t>
  </si>
  <si>
    <t>C:\Users\Jerrison Chai\Documents\00 Shuei Company Documents\Personal particulars to HR.pdf</t>
  </si>
  <si>
    <t>MY_RS0054 - Attendance Report - Jerrison CHAI Chang Yan APR 20240421.xlsx</t>
  </si>
  <si>
    <t>C:\Users\Jerrison Chai\Documents\00 Shuei Company Documents\2024 Attendance Report\MY_RS0054 - Attendance Report - Jerrison CHAI Chang Yan APR 20240421.xlsx</t>
  </si>
  <si>
    <t>MY_RS0054 - Attendance Report - Jerrison CHAI Chang Yan AUG 20240821.xlsx</t>
  </si>
  <si>
    <t>C:\Users\Jerrison Chai\Documents\00 Shuei Company Documents\2024 Attendance Report\MY_RS0054 - Attendance Report - Jerrison CHAI Chang Yan AUG 20240821.xlsx</t>
  </si>
  <si>
    <t>MY_RS0054 - Attendance Report - Jerrison CHAI Chang Yan FEB 20240221.xlsx</t>
  </si>
  <si>
    <t>C:\Users\Jerrison Chai\Documents\00 Shuei Company Documents\2024 Attendance Report\MY_RS0054 - Attendance Report - Jerrison CHAI Chang Yan FEB 20240221.xlsx</t>
  </si>
  <si>
    <t>MY_RS0054 - Attendance Report - Jerrison CHAI Chang Yan JAN 20240124.xlsx</t>
  </si>
  <si>
    <t>C:\Users\Jerrison Chai\Documents\00 Shuei Company Documents\2024 Attendance Report\MY_RS0054 - Attendance Report - Jerrison CHAI Chang Yan JAN 20240124.xlsx</t>
  </si>
  <si>
    <t>MY_RS0054 - Attendance Report - Jerrison CHAI Chang Yan JUL 20240722.xlsx</t>
  </si>
  <si>
    <t>C:\Users\Jerrison Chai\Documents\00 Shuei Company Documents\2024 Attendance Report\MY_RS0054 - Attendance Report - Jerrison CHAI Chang Yan JUL 20240722.xlsx</t>
  </si>
  <si>
    <t>MY_RS0054 - Attendance Report - Jerrison CHAI Chang Yan JUN 20240621.xlsx</t>
  </si>
  <si>
    <t>C:\Users\Jerrison Chai\Documents\00 Shuei Company Documents\2024 Attendance Report\MY_RS0054 - Attendance Report - Jerrison CHAI Chang Yan JUN 20240621.xlsx</t>
  </si>
  <si>
    <t>MY_RS0054 - Attendance Report - Jerrison CHAI Chang Yan MAR 20240321.xlsx</t>
  </si>
  <si>
    <t>C:\Users\Jerrison Chai\Documents\00 Shuei Company Documents\2024 Attendance Report\MY_RS0054 - Attendance Report - Jerrison CHAI Chang Yan MAR 20240321.xlsx</t>
  </si>
  <si>
    <t>MY_RS0054 - Attendance Report - Jerrison CHAI Chang Yan MAY 20240521.xlsx</t>
  </si>
  <si>
    <t>C:\Users\Jerrison Chai\Documents\00 Shuei Company Documents\2024 Attendance Report\MY_RS0054 - Attendance Report - Jerrison CHAI Chang Yan MAY 20240521.xlsx</t>
  </si>
  <si>
    <t>MY_RS0054 - Attendance Report - Jerrison CHAI Chang Yan NOV 20241121.xlsx</t>
  </si>
  <si>
    <t>C:\Users\Jerrison Chai\Documents\00 Shuei Company Documents\2024 Attendance Report\MY_RS0054 - Attendance Report - Jerrison CHAI Chang Yan NOV 20241121.xlsx</t>
  </si>
  <si>
    <t>MY_RS0054 - Attendance Report - Jerrison CHAI Chang Yan OCT 20241021.xlsx</t>
  </si>
  <si>
    <t>C:\Users\Jerrison Chai\Documents\00 Shuei Company Documents\2024 Attendance Report\MY_RS0054 - Attendance Report - Jerrison CHAI Chang Yan OCT 20241021.xlsx</t>
  </si>
  <si>
    <t>MY_RS0054 - Attendance Report - Jerrison CHAI Chang Yan SEP 20240920.xlsx</t>
  </si>
  <si>
    <t>C:\Users\Jerrison Chai\Documents\00 Shuei Company Documents\2024 Attendance Report\MY_RS0054 - Attendance Report - Jerrison CHAI Chang Yan SEP 20240920.xlsx</t>
  </si>
  <si>
    <t>MY_RS0054 - Attendance Report - template.xlsm</t>
  </si>
  <si>
    <t>C:\Users\Jerrison Chai\Documents\00 Shuei Company Documents\2024 Attendance Report\MY_RS0054 - Attendance Report - template.xlsm</t>
  </si>
  <si>
    <t>Code Counter new - multi templates.xlsm</t>
  </si>
  <si>
    <t>C:\Users\Jerrison Chai\Documents\00 Shuei Company Documents\Monthly report to Director\Code Counter new - multi templates.xlsm</t>
  </si>
  <si>
    <t>Departmental KPI 20241003.xlsx</t>
  </si>
  <si>
    <t>C:\Users\Jerrison Chai\Documents\00 Shuei Company Documents\Monthly report to Director\Departmental KPI 20241003.xlsx</t>
  </si>
  <si>
    <t>Draft of 05 May 2024 report to director.txt</t>
  </si>
  <si>
    <t>C:\Users\Jerrison Chai\Documents\00 Shuei Company Documents\Monthly report to Director\Draft of 05 May 2024 report to director.txt</t>
  </si>
  <si>
    <t>Impact of Optimization v2.33.xlsx</t>
  </si>
  <si>
    <t>C:\Users\Jerrison Chai\Documents\00 Shuei Company Documents\Monthly report to Director\Impact of Optimization v2.33.xlsx</t>
  </si>
  <si>
    <t>Monthly report - Jerrison 202401 JAN (edited).xlsx</t>
  </si>
  <si>
    <t>C:\Users\Jerrison Chai\Documents\00 Shuei Company Documents\Monthly report to Director\Monthly report - Jerrison 202401 JAN (edited).xlsx</t>
  </si>
  <si>
    <t>Monthly report - Jerrison 202401 JAN.pdf</t>
  </si>
  <si>
    <t>C:\Users\Jerrison Chai\Documents\00 Shuei Company Documents\Monthly report to Director\Monthly report - Jerrison 202401 JAN.pdf</t>
  </si>
  <si>
    <t>Monthly report - Jerrison 202401 JAN.xlsx</t>
  </si>
  <si>
    <t>C:\Users\Jerrison Chai\Documents\00 Shuei Company Documents\Monthly report to Director\Monthly report - Jerrison 202401 JAN.xlsx</t>
  </si>
  <si>
    <t>Monthly report - Jerrison 202402 FEB.pdf</t>
  </si>
  <si>
    <t>C:\Users\Jerrison Chai\Documents\00 Shuei Company Documents\Monthly report to Director\Monthly report - Jerrison 202402 FEB.pdf</t>
  </si>
  <si>
    <t>Monthly report - Jerrison 202402 FEB.xlsx</t>
  </si>
  <si>
    <t>C:\Users\Jerrison Chai\Documents\00 Shuei Company Documents\Monthly report to Director\Monthly report - Jerrison 202402 FEB.xlsx</t>
  </si>
  <si>
    <t>Monthly report - Jerrison 202403 MAR.pdf</t>
  </si>
  <si>
    <t>C:\Users\Jerrison Chai\Documents\00 Shuei Company Documents\Monthly report to Director\Monthly report - Jerrison 202403 MAR.pdf</t>
  </si>
  <si>
    <t>Lock or unlock VB Project.xlsm</t>
  </si>
  <si>
    <t>Button</t>
  </si>
  <si>
    <t>Time</t>
  </si>
  <si>
    <t>User</t>
  </si>
  <si>
    <t>Action Taken</t>
  </si>
  <si>
    <t>Remark</t>
  </si>
  <si>
    <t>Download</t>
  </si>
  <si>
    <t>Jerrison Chai</t>
  </si>
  <si>
    <t>Start Run</t>
  </si>
  <si>
    <t>Run Macro Started</t>
  </si>
  <si>
    <t>Lock or unlock VB Project v2.00T.xlsm</t>
  </si>
  <si>
    <t>Run Macro Ended</t>
  </si>
  <si>
    <t>Lock</t>
  </si>
  <si>
    <t>Unlock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</si>
</sst>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* #,##0_-;\-* #,##0_-;_-* &quot;-&quot;??_-;_-@_-"/>
    <numFmt numFmtId="166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iome"/>
      <family val="2"/>
    </font>
    <font>
      <b/>
      <sz val="11"/>
      <name val="Biome"/>
      <family val="2"/>
    </font>
    <font>
      <sz val="11"/>
      <color theme="1"/>
      <name val="Biome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quotePrefix="1" applyFont="1"/>
    <xf numFmtId="165" fontId="2" fillId="0" borderId="0" xfId="1" applyNumberFormat="1" applyFont="1"/>
    <xf numFmtId="0" fontId="2" fillId="0" borderId="0" xfId="0" applyFont="1"/>
    <xf numFmtId="0" fontId="3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2" fillId="4" borderId="0" xfId="0" applyFont="1" applyFill="1"/>
    <xf numFmtId="0" fontId="4" fillId="0" borderId="0" xfId="0" applyFont="1"/>
    <xf numFmtId="22" fontId="4" fillId="0" borderId="0" xfId="0" applyNumberFormat="1" applyFont="1"/>
    <xf numFmtId="165" fontId="4" fillId="0" borderId="0" xfId="0" applyNumberFormat="1" applyFont="1"/>
    <xf numFmtId="166" fontId="4" fillId="0" borderId="0" xfId="0" applyNumberFormat="1" applyFont="1"/>
    <xf numFmtId="0" fontId="4" fillId="2" borderId="0" xfId="0" applyFont="1" applyFill="1"/>
    <xf numFmtId="0" fontId="5" fillId="5" borderId="0" xfId="0" applyFont="1" applyFill="1"/>
    <xf numFmtId="22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466725</xdr:colOff>
      <xdr:row>4</xdr:row>
      <xdr:rowOff>114300</xdr:rowOff>
    </xdr:from>
    <xdr:to>
      <xdr:col>4</xdr:col>
      <xdr:colOff>476250</xdr:colOff>
      <xdr:row>10</xdr:row>
      <xdr:rowOff>171450</xdr:rowOff>
    </xdr:to>
    <xdr:sp macro="[0]!Lock_Example" textlink="">
      <xdr:nvSpPr>
        <xdr:cNvPr id="2" name="Lock">
          <a:extLst>
            <a:ext uri="{FF2B5EF4-FFF2-40B4-BE49-F238E27FC236}">
              <a16:creationId xmlns:a16="http://schemas.microsoft.com/office/drawing/2014/main" id="{1A189FF7-1778-C904-CF6F-366D8CAEEA2D}"/>
            </a:ext>
          </a:extLst>
        </xdr:cNvPr>
        <xdr:cNvSpPr/>
      </xdr:nvSpPr>
      <xdr:spPr>
        <a:xfrm>
          <a:off x="1076325" y="876300"/>
          <a:ext cx="1838325" cy="1200150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000" b="1" kern="1200">
              <a:solidFill>
                <a:srgbClr val="FFFFFF"/>
              </a:solidFill>
            </a:rPr>
            <a:t>LOCK</a:t>
          </a:r>
        </a:p>
      </xdr:txBody>
    </xdr:sp>
    <xdr:clientData/>
  </xdr:twoCellAnchor>
  <xdr:twoCellAnchor>
    <xdr:from>
      <xdr:col>5</xdr:col>
      <xdr:colOff>247650</xdr:colOff>
      <xdr:row>4</xdr:row>
      <xdr:rowOff>114300</xdr:rowOff>
    </xdr:from>
    <xdr:to>
      <xdr:col>8</xdr:col>
      <xdr:colOff>257175</xdr:colOff>
      <xdr:row>10</xdr:row>
      <xdr:rowOff>171450</xdr:rowOff>
    </xdr:to>
    <xdr:sp macro="[0]!UnLock_Example" textlink="">
      <xdr:nvSpPr>
        <xdr:cNvPr id="3" name="Unlock">
          <a:extLst>
            <a:ext uri="{FF2B5EF4-FFF2-40B4-BE49-F238E27FC236}">
              <a16:creationId xmlns:a16="http://schemas.microsoft.com/office/drawing/2014/main" id="{22601C28-C216-4E5C-96AD-7FBDF486E374}"/>
            </a:ext>
          </a:extLst>
        </xdr:cNvPr>
        <xdr:cNvSpPr/>
      </xdr:nvSpPr>
      <xdr:spPr>
        <a:xfrm>
          <a:off x="3295650" y="876300"/>
          <a:ext cx="1838325" cy="1200150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000" b="1" kern="1200">
              <a:solidFill>
                <a:srgbClr val="FFFFFF"/>
              </a:solidFill>
            </a:rPr>
            <a:t>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A1347-EFB2-467A-A1FD-5D3222E6F2AE}">
  <sheetPr codeName="Sheet2"/>
  <dimension ref="A1"/>
  <sheetViews>
    <sheetView tabSelected="1" workbookViewId="0">
      <selection activeCell="L12" sqref="L12"/>
    </sheetView>
  </sheetViews>
  <sheetFormatPr defaultRowHeight="15" x14ac:dyDescent="0.25"/>
  <sheetData/>
  <sheetProtection algorithmName="SHA-512" hashValue="ZSZNAKeM2Z0+nJHBfU8l9HRml1UccLvf5kJDUSmcBjDSm1wZIeH8rZr2UacoBlv4CZaDjO0ijZ23XfZSz2htSg==" saltValue="aUxtIZV/h7POb4qnwBynCg==" spinCount="100000" sheet="1" objects="1" scenarios="1"/>
  <pageMargins left="0.7" right="0.7" top="0.75" bottom="0.75" header="0.3" footer="0.3"/>
  <pageSetup orientation="portrait" r:id="rId1"/>
  <headerFooter>
    <oddFooter>&amp;C&amp;"Calibri,Regular"&amp;8Template produced by Jerrison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17ABF-6F0A-4D16-9D2C-1F8B1B0E20F6}">
  <sheetPr codeName="Sheet1"/>
  <dimension ref="A1:V35"/>
  <sheetViews>
    <sheetView workbookViewId="0">
      <pane xSplit="1" ySplit="1" topLeftCell="B27" activePane="bottomRight" state="frozen"/>
      <selection pane="topRight" activeCell="B1" sqref="B1"/>
      <selection pane="bottomLeft" activeCell="A2" sqref="A2"/>
      <selection pane="bottomRight" activeCell="A54" sqref="A54"/>
    </sheetView>
  </sheetViews>
  <sheetFormatPr defaultRowHeight="15" x14ac:dyDescent="0.25"/>
  <cols>
    <col min="1" max="1" width="90.140625" bestFit="1" customWidth="1"/>
    <col min="2" max="2" width="126.7109375" bestFit="1" customWidth="1"/>
    <col min="3" max="3" width="21.140625" bestFit="1" customWidth="1"/>
    <col min="4" max="4" width="25.85546875" bestFit="1" customWidth="1"/>
    <col min="5" max="5" width="13.42578125" bestFit="1" customWidth="1"/>
    <col min="6" max="6" width="74" bestFit="1" customWidth="1"/>
    <col min="7" max="7" width="24.140625" bestFit="1" customWidth="1"/>
    <col min="8" max="8" width="13.85546875" bestFit="1" customWidth="1"/>
    <col min="9" max="9" width="14.85546875" bestFit="1" customWidth="1"/>
    <col min="10" max="10" width="19.28515625" bestFit="1" customWidth="1"/>
    <col min="11" max="11" width="28.7109375" bestFit="1" customWidth="1"/>
    <col min="12" max="12" width="35" bestFit="1" customWidth="1"/>
    <col min="13" max="13" width="20.140625" bestFit="1" customWidth="1"/>
    <col min="14" max="14" width="20.28515625" bestFit="1" customWidth="1"/>
    <col min="15" max="15" width="8" bestFit="1" customWidth="1"/>
    <col min="16" max="16" width="12.140625" bestFit="1" customWidth="1"/>
    <col min="17" max="17" width="9.42578125" bestFit="1" customWidth="1"/>
    <col min="18" max="18" width="5.85546875" bestFit="1" customWidth="1"/>
    <col min="19" max="19" width="8" bestFit="1" customWidth="1"/>
    <col min="20" max="20" width="12.140625" bestFit="1" customWidth="1"/>
    <col min="21" max="21" width="9.42578125" bestFit="1" customWidth="1"/>
    <col min="22" max="22" width="5.85546875" bestFit="1" customWidth="1"/>
  </cols>
  <sheetData>
    <row r="1" spans="1:22" s="3" customFormat="1" x14ac:dyDescent="0.2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2" t="s">
        <v>6</v>
      </c>
      <c r="H1" s="2" t="s">
        <v>7</v>
      </c>
      <c r="I1" s="2" t="s">
        <v>8</v>
      </c>
      <c r="J1" s="4" t="s">
        <v>9</v>
      </c>
      <c r="K1" s="4" t="s">
        <v>10</v>
      </c>
      <c r="L1" s="5" t="s">
        <v>11</v>
      </c>
      <c r="M1" s="5" t="s">
        <v>12</v>
      </c>
      <c r="N1" s="6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14</v>
      </c>
      <c r="T1" s="3" t="s">
        <v>15</v>
      </c>
      <c r="U1" s="3" t="s">
        <v>16</v>
      </c>
      <c r="V1" s="3" t="s">
        <v>17</v>
      </c>
    </row>
    <row r="2" spans="1:22" s="7" customFormat="1" x14ac:dyDescent="0.25">
      <c r="A2" s="7" t="s">
        <v>18</v>
      </c>
      <c r="B2" s="7" t="s">
        <v>19</v>
      </c>
      <c r="C2" s="8">
        <v>45399.636041666665</v>
      </c>
      <c r="D2" s="8">
        <v>45617.393310185187</v>
      </c>
      <c r="E2" s="9">
        <v>7088</v>
      </c>
      <c r="F2" s="7" t="str">
        <f t="array" ref="F2">LEFT(SUBSTITUTE(B2,A2,""),LEN(SUBSTITUTE(B2,A2,""))-1)</f>
        <v>C:\Users\Jerrison Chai\Documents\00 Shuei Company Documents</v>
      </c>
      <c r="G2" s="10">
        <f>D2-C2</f>
        <v>217.75726851852232</v>
      </c>
      <c r="H2" s="7" t="str">
        <f>SUBSTITUTE(REPLACE(RIGHT(A2,5),1,SEARCH(".",RIGHT(A2,5)),""),".","")</f>
        <v>txt</v>
      </c>
      <c r="I2" s="7" t="str">
        <f>IF(AND(H2="xlsm",LEFT(A2,2)&lt;&gt;"~$"),"Template","")</f>
        <v/>
      </c>
      <c r="L2" s="7" t="str">
        <f>TRIM(MID(F2,FIND("#",SUBSTITUTE(F2,"\","#",LEN(F2)-LEN(SUBSTITUTE(F2,"\",""))))+1,255))</f>
        <v>00 Shuei Company Documents</v>
      </c>
      <c r="M2" s="10">
        <f>D2-C2</f>
        <v>217.75726851852232</v>
      </c>
      <c r="N2" s="7">
        <v>0</v>
      </c>
      <c r="O2" s="7" t="str">
        <f>TEXT(C2,"YYYY")</f>
        <v>2024</v>
      </c>
      <c r="P2" s="7" t="str">
        <f>IF(OR(Q2="Jan",Q2="Feb",Q2="Mar"),"1",IF(OR(Q2="Apr",Q2="May",Q2="Jun"),"2",IF(OR(Q2="Jul",Q2="Aug",Q2="Sep"),"3",IF(OR(Q2="Oct",Q2="Nov",Q2="Dec"),"4",""))))</f>
        <v>2</v>
      </c>
      <c r="Q2" s="7" t="str">
        <f>TEXT(C2,"MMM")</f>
        <v>Apr</v>
      </c>
      <c r="R2" s="7" t="str">
        <f>TEXT(C2,"DD")</f>
        <v>17</v>
      </c>
      <c r="S2" s="7" t="str">
        <f>TEXT(D2,"YYYY")</f>
        <v>2024</v>
      </c>
      <c r="T2" s="7" t="str">
        <f>IF(OR(U2="Jan",U2="Feb",U2="Mar"),"1",IF(OR(U2="Apr",U2="May",U2="Jun"),"2",IF(OR(U2="Jul",U2="Aug",U2="Sep"),"3",IF(OR(U2="Oct",U2="Nov",U2="Dec"),"4",""))))</f>
        <v>4</v>
      </c>
      <c r="U2" s="7" t="str">
        <f>TEXT(D2,"MMM")</f>
        <v>Nov</v>
      </c>
      <c r="V2" s="7" t="str">
        <f>TEXT(D2,"DD")</f>
        <v>21</v>
      </c>
    </row>
    <row r="3" spans="1:22" s="7" customFormat="1" x14ac:dyDescent="0.25">
      <c r="A3" s="7" t="s">
        <v>20</v>
      </c>
      <c r="B3" s="7" t="s">
        <v>21</v>
      </c>
      <c r="C3" s="8">
        <v>45422.482812499999</v>
      </c>
      <c r="D3" s="8">
        <v>45573.610081018516</v>
      </c>
      <c r="E3" s="9">
        <v>4088</v>
      </c>
      <c r="F3" s="7" t="str">
        <f t="array" ref="F3">LEFT(SUBSTITUTE(B3,A3,""),LEN(SUBSTITUTE(B3,A3,""))-1)</f>
        <v>C:\Users\Jerrison Chai\Documents\00 Shuei Company Documents</v>
      </c>
      <c r="G3" s="10">
        <f t="shared" ref="G3:G34" si="0">D3-C3</f>
        <v>151.12726851851767</v>
      </c>
      <c r="H3" s="7" t="str">
        <f t="shared" ref="H3:H35" si="1">SUBSTITUTE(REPLACE(RIGHT(A3,5),1,SEARCH(".",RIGHT(A3,5)),""),".","")</f>
        <v>txt</v>
      </c>
      <c r="I3" s="7" t="str">
        <f t="shared" ref="I3:I35" si="2">IF(AND(H3="xlsm",LEFT(A3,2)&lt;&gt;"~$"),"Template","")</f>
        <v/>
      </c>
      <c r="L3" s="7" t="str">
        <f t="shared" ref="L3:L34" si="3">TRIM(MID(F3,FIND("#",SUBSTITUTE(F3,"\","#",LEN(F3)-LEN(SUBSTITUTE(F3,"\",""))))+1,255))</f>
        <v>00 Shuei Company Documents</v>
      </c>
      <c r="M3" s="10">
        <f t="shared" ref="M3:M34" si="4">D3-C3</f>
        <v>151.12726851851767</v>
      </c>
      <c r="N3" s="7">
        <v>0</v>
      </c>
      <c r="O3" s="7" t="str">
        <f t="shared" ref="O3:O34" si="5">TEXT(C3,"YYYY")</f>
        <v>2024</v>
      </c>
      <c r="P3" s="7" t="str">
        <f t="shared" ref="P3:P34" si="6">IF(OR(Q3="Jan",Q3="Feb",Q3="Mar"),"1",IF(OR(Q3="Apr",Q3="May",Q3="Jun"),"2",IF(OR(Q3="Jul",Q3="Aug",Q3="Sep"),"3",IF(OR(Q3="Oct",Q3="Nov",Q3="Dec"),"4",""))))</f>
        <v>2</v>
      </c>
      <c r="Q3" s="7" t="str">
        <f t="shared" ref="Q3:Q34" si="7">TEXT(C3,"MMM")</f>
        <v>May</v>
      </c>
      <c r="R3" s="7" t="str">
        <f t="shared" ref="R3:R34" si="8">TEXT(C3,"DD")</f>
        <v>10</v>
      </c>
      <c r="S3" s="7" t="str">
        <f t="shared" ref="S3:S34" si="9">TEXT(D3,"YYYY")</f>
        <v>2024</v>
      </c>
      <c r="T3" s="7" t="str">
        <f t="shared" ref="T3:T34" si="10">IF(OR(U3="Jan",U3="Feb",U3="Mar"),"1",IF(OR(U3="Apr",U3="May",U3="Jun"),"2",IF(OR(U3="Jul",U3="Aug",U3="Sep"),"3",IF(OR(U3="Oct",U3="Nov",U3="Dec"),"4",""))))</f>
        <v>4</v>
      </c>
      <c r="U3" s="7" t="str">
        <f t="shared" ref="U3:U34" si="11">TEXT(D3,"MMM")</f>
        <v>Oct</v>
      </c>
      <c r="V3" s="7" t="str">
        <f t="shared" ref="V3:V34" si="12">TEXT(D3,"DD")</f>
        <v>08</v>
      </c>
    </row>
    <row r="4" spans="1:22" s="7" customFormat="1" x14ac:dyDescent="0.25">
      <c r="A4" s="7" t="s">
        <v>22</v>
      </c>
      <c r="B4" s="7" t="s">
        <v>23</v>
      </c>
      <c r="C4" s="8">
        <v>45476.738194444442</v>
      </c>
      <c r="D4" s="8">
        <v>45568.59511574074</v>
      </c>
      <c r="E4" s="9">
        <v>4029</v>
      </c>
      <c r="F4" s="7" t="str">
        <f t="array" ref="F4">LEFT(SUBSTITUTE(B4,A4,""),LEN(SUBSTITUTE(B4,A4,""))-1)</f>
        <v>C:\Users\Jerrison Chai\Documents\00 Shuei Company Documents</v>
      </c>
      <c r="G4" s="10">
        <f t="shared" si="0"/>
        <v>91.856921296297514</v>
      </c>
      <c r="H4" s="7" t="str">
        <f t="shared" si="1"/>
        <v>txt</v>
      </c>
      <c r="I4" s="7" t="str">
        <f t="shared" si="2"/>
        <v/>
      </c>
      <c r="L4" s="7" t="str">
        <f t="shared" si="3"/>
        <v>00 Shuei Company Documents</v>
      </c>
      <c r="M4" s="10">
        <f t="shared" si="4"/>
        <v>91.856921296297514</v>
      </c>
      <c r="N4" s="7">
        <v>0</v>
      </c>
      <c r="O4" s="7" t="str">
        <f t="shared" si="5"/>
        <v>2024</v>
      </c>
      <c r="P4" s="7" t="str">
        <f t="shared" si="6"/>
        <v>3</v>
      </c>
      <c r="Q4" s="7" t="str">
        <f t="shared" si="7"/>
        <v>Jul</v>
      </c>
      <c r="R4" s="7" t="str">
        <f t="shared" si="8"/>
        <v>03</v>
      </c>
      <c r="S4" s="7" t="str">
        <f t="shared" si="9"/>
        <v>2024</v>
      </c>
      <c r="T4" s="7" t="str">
        <f t="shared" si="10"/>
        <v>4</v>
      </c>
      <c r="U4" s="7" t="str">
        <f t="shared" si="11"/>
        <v>Oct</v>
      </c>
      <c r="V4" s="7" t="str">
        <f t="shared" si="12"/>
        <v>03</v>
      </c>
    </row>
    <row r="5" spans="1:22" s="7" customFormat="1" x14ac:dyDescent="0.25">
      <c r="A5" s="7" t="s">
        <v>24</v>
      </c>
      <c r="B5" s="7" t="s">
        <v>25</v>
      </c>
      <c r="C5" s="8">
        <v>45357.396840277775</v>
      </c>
      <c r="D5" s="8">
        <v>45582.659074074072</v>
      </c>
      <c r="E5" s="9">
        <v>6270</v>
      </c>
      <c r="F5" s="7" t="str">
        <f t="array" ref="F5">LEFT(SUBSTITUTE(B5,A5,""),LEN(SUBSTITUTE(B5,A5,""))-1)</f>
        <v>C:\Users\Jerrison Chai\Documents\00 Shuei Company Documents</v>
      </c>
      <c r="G5" s="10">
        <f t="shared" si="0"/>
        <v>225.26223379629664</v>
      </c>
      <c r="H5" s="7" t="str">
        <f t="shared" si="1"/>
        <v>txt</v>
      </c>
      <c r="I5" s="7" t="str">
        <f t="shared" si="2"/>
        <v/>
      </c>
      <c r="L5" s="7" t="str">
        <f t="shared" si="3"/>
        <v>00 Shuei Company Documents</v>
      </c>
      <c r="M5" s="10">
        <f t="shared" si="4"/>
        <v>225.26223379629664</v>
      </c>
      <c r="N5" s="7">
        <v>0</v>
      </c>
      <c r="O5" s="7" t="str">
        <f t="shared" si="5"/>
        <v>2024</v>
      </c>
      <c r="P5" s="7" t="str">
        <f t="shared" si="6"/>
        <v>1</v>
      </c>
      <c r="Q5" s="7" t="str">
        <f t="shared" si="7"/>
        <v>Mar</v>
      </c>
      <c r="R5" s="7" t="str">
        <f t="shared" si="8"/>
        <v>06</v>
      </c>
      <c r="S5" s="7" t="str">
        <f t="shared" si="9"/>
        <v>2024</v>
      </c>
      <c r="T5" s="7" t="str">
        <f t="shared" si="10"/>
        <v>4</v>
      </c>
      <c r="U5" s="7" t="str">
        <f t="shared" si="11"/>
        <v>Oct</v>
      </c>
      <c r="V5" s="7" t="str">
        <f t="shared" si="12"/>
        <v>17</v>
      </c>
    </row>
    <row r="6" spans="1:22" s="7" customFormat="1" x14ac:dyDescent="0.25">
      <c r="A6" s="7" t="s">
        <v>26</v>
      </c>
      <c r="B6" s="7" t="s">
        <v>27</v>
      </c>
      <c r="C6" s="8">
        <v>45614.479907407411</v>
      </c>
      <c r="D6" s="8">
        <v>45614.49664351852</v>
      </c>
      <c r="E6" s="9">
        <v>5014</v>
      </c>
      <c r="F6" s="7" t="str">
        <f t="array" ref="F6">LEFT(SUBSTITUTE(B6,A6,""),LEN(SUBSTITUTE(B6,A6,""))-1)</f>
        <v>C:\Users\Jerrison Chai\Documents\00 Shuei Company Documents</v>
      </c>
      <c r="G6" s="10">
        <f t="shared" si="0"/>
        <v>1.6736111108912155E-2</v>
      </c>
      <c r="H6" s="7" t="str">
        <f t="shared" si="1"/>
        <v>txt</v>
      </c>
      <c r="I6" s="7" t="str">
        <f t="shared" si="2"/>
        <v/>
      </c>
      <c r="L6" s="7" t="str">
        <f t="shared" si="3"/>
        <v>00 Shuei Company Documents</v>
      </c>
      <c r="M6" s="10">
        <f t="shared" si="4"/>
        <v>1.6736111108912155E-2</v>
      </c>
      <c r="N6" s="7">
        <v>0</v>
      </c>
      <c r="O6" s="7" t="str">
        <f t="shared" si="5"/>
        <v>2024</v>
      </c>
      <c r="P6" s="7" t="str">
        <f t="shared" si="6"/>
        <v>4</v>
      </c>
      <c r="Q6" s="7" t="str">
        <f t="shared" si="7"/>
        <v>Nov</v>
      </c>
      <c r="R6" s="7" t="str">
        <f t="shared" si="8"/>
        <v>18</v>
      </c>
      <c r="S6" s="7" t="str">
        <f t="shared" si="9"/>
        <v>2024</v>
      </c>
      <c r="T6" s="7" t="str">
        <f t="shared" si="10"/>
        <v>4</v>
      </c>
      <c r="U6" s="7" t="str">
        <f t="shared" si="11"/>
        <v>Nov</v>
      </c>
      <c r="V6" s="7" t="str">
        <f t="shared" si="12"/>
        <v>18</v>
      </c>
    </row>
    <row r="7" spans="1:22" s="7" customFormat="1" x14ac:dyDescent="0.25">
      <c r="A7" s="7" t="s">
        <v>28</v>
      </c>
      <c r="B7" s="7" t="s">
        <v>29</v>
      </c>
      <c r="C7" s="8">
        <v>45614.501689814817</v>
      </c>
      <c r="D7" s="8">
        <v>45614.501701388886</v>
      </c>
      <c r="E7" s="9">
        <v>24463</v>
      </c>
      <c r="F7" s="7" t="str">
        <f t="array" ref="F7">LEFT(SUBSTITUTE(B7,A7,""),LEN(SUBSTITUTE(B7,A7,""))-1)</f>
        <v>C:\Users\Jerrison Chai\Documents\00 Shuei Company Documents</v>
      </c>
      <c r="G7" s="10">
        <f t="shared" si="0"/>
        <v>1.1574069503694773E-5</v>
      </c>
      <c r="H7" s="7" t="str">
        <f t="shared" si="1"/>
        <v>xlsx</v>
      </c>
      <c r="I7" s="7" t="str">
        <f t="shared" si="2"/>
        <v/>
      </c>
      <c r="L7" s="7" t="str">
        <f t="shared" si="3"/>
        <v>00 Shuei Company Documents</v>
      </c>
      <c r="M7" s="10">
        <f t="shared" si="4"/>
        <v>1.1574069503694773E-5</v>
      </c>
      <c r="N7" s="7">
        <v>0</v>
      </c>
      <c r="O7" s="7" t="str">
        <f t="shared" si="5"/>
        <v>2024</v>
      </c>
      <c r="P7" s="7" t="str">
        <f t="shared" si="6"/>
        <v>4</v>
      </c>
      <c r="Q7" s="7" t="str">
        <f t="shared" si="7"/>
        <v>Nov</v>
      </c>
      <c r="R7" s="7" t="str">
        <f t="shared" si="8"/>
        <v>18</v>
      </c>
      <c r="S7" s="7" t="str">
        <f t="shared" si="9"/>
        <v>2024</v>
      </c>
      <c r="T7" s="7" t="str">
        <f t="shared" si="10"/>
        <v>4</v>
      </c>
      <c r="U7" s="7" t="str">
        <f t="shared" si="11"/>
        <v>Nov</v>
      </c>
      <c r="V7" s="7" t="str">
        <f t="shared" si="12"/>
        <v>18</v>
      </c>
    </row>
    <row r="8" spans="1:22" s="7" customFormat="1" x14ac:dyDescent="0.25">
      <c r="A8" s="7" t="s">
        <v>30</v>
      </c>
      <c r="B8" s="7" t="s">
        <v>31</v>
      </c>
      <c r="C8" s="8">
        <v>45615.436319444445</v>
      </c>
      <c r="D8" s="8">
        <v>45615.436365740738</v>
      </c>
      <c r="E8" s="9">
        <v>280828</v>
      </c>
      <c r="F8" s="7" t="str">
        <f t="array" ref="F8">LEFT(SUBSTITUTE(B8,A8,""),LEN(SUBSTITUTE(B8,A8,""))-1)</f>
        <v>C:\Users\Jerrison Chai\Documents\00 Shuei Company Documents</v>
      </c>
      <c r="G8" s="10">
        <f t="shared" si="0"/>
        <v>4.6296292566694319E-5</v>
      </c>
      <c r="H8" s="7" t="str">
        <f t="shared" si="1"/>
        <v>pdf</v>
      </c>
      <c r="I8" s="7" t="str">
        <f t="shared" si="2"/>
        <v/>
      </c>
      <c r="L8" s="7" t="str">
        <f t="shared" si="3"/>
        <v>00 Shuei Company Documents</v>
      </c>
      <c r="M8" s="10">
        <f t="shared" si="4"/>
        <v>4.6296292566694319E-5</v>
      </c>
      <c r="N8" s="7">
        <v>0</v>
      </c>
      <c r="O8" s="7" t="str">
        <f t="shared" si="5"/>
        <v>2024</v>
      </c>
      <c r="P8" s="7" t="str">
        <f t="shared" si="6"/>
        <v>4</v>
      </c>
      <c r="Q8" s="7" t="str">
        <f t="shared" si="7"/>
        <v>Nov</v>
      </c>
      <c r="R8" s="7" t="str">
        <f t="shared" si="8"/>
        <v>19</v>
      </c>
      <c r="S8" s="7" t="str">
        <f t="shared" si="9"/>
        <v>2024</v>
      </c>
      <c r="T8" s="7" t="str">
        <f t="shared" si="10"/>
        <v>4</v>
      </c>
      <c r="U8" s="7" t="str">
        <f t="shared" si="11"/>
        <v>Nov</v>
      </c>
      <c r="V8" s="7" t="str">
        <f t="shared" si="12"/>
        <v>19</v>
      </c>
    </row>
    <row r="9" spans="1:22" s="7" customFormat="1" x14ac:dyDescent="0.25">
      <c r="A9" s="7" t="s">
        <v>32</v>
      </c>
      <c r="B9" s="7" t="s">
        <v>33</v>
      </c>
      <c r="C9" s="8">
        <v>45615.385312500002</v>
      </c>
      <c r="D9" s="8">
        <v>45618.744351851848</v>
      </c>
      <c r="E9" s="9">
        <v>1495</v>
      </c>
      <c r="F9" s="7" t="str">
        <f t="array" ref="F9">LEFT(SUBSTITUTE(B9,A9,""),LEN(SUBSTITUTE(B9,A9,""))-1)</f>
        <v>C:\Users\Jerrison Chai\Documents\00 Shuei Company Documents</v>
      </c>
      <c r="G9" s="10">
        <f t="shared" si="0"/>
        <v>3.3590393518461497</v>
      </c>
      <c r="H9" s="7" t="str">
        <f t="shared" si="1"/>
        <v>txt</v>
      </c>
      <c r="I9" s="7" t="str">
        <f t="shared" si="2"/>
        <v/>
      </c>
      <c r="L9" s="7" t="str">
        <f t="shared" si="3"/>
        <v>00 Shuei Company Documents</v>
      </c>
      <c r="M9" s="10">
        <f t="shared" si="4"/>
        <v>3.3590393518461497</v>
      </c>
      <c r="N9" s="7">
        <v>0</v>
      </c>
      <c r="O9" s="7" t="str">
        <f t="shared" si="5"/>
        <v>2024</v>
      </c>
      <c r="P9" s="7" t="str">
        <f t="shared" si="6"/>
        <v>4</v>
      </c>
      <c r="Q9" s="7" t="str">
        <f t="shared" si="7"/>
        <v>Nov</v>
      </c>
      <c r="R9" s="7" t="str">
        <f t="shared" si="8"/>
        <v>19</v>
      </c>
      <c r="S9" s="7" t="str">
        <f t="shared" si="9"/>
        <v>2024</v>
      </c>
      <c r="T9" s="7" t="str">
        <f t="shared" si="10"/>
        <v>4</v>
      </c>
      <c r="U9" s="7" t="str">
        <f t="shared" si="11"/>
        <v>Nov</v>
      </c>
      <c r="V9" s="7" t="str">
        <f t="shared" si="12"/>
        <v>22</v>
      </c>
    </row>
    <row r="10" spans="1:22" s="7" customFormat="1" x14ac:dyDescent="0.25">
      <c r="A10" s="7" t="s">
        <v>34</v>
      </c>
      <c r="B10" s="7" t="s">
        <v>35</v>
      </c>
      <c r="C10" s="8">
        <v>45317.575949074075</v>
      </c>
      <c r="D10" s="8">
        <v>45317.575949074075</v>
      </c>
      <c r="E10" s="9">
        <v>2168275</v>
      </c>
      <c r="F10" s="7" t="str">
        <f t="array" ref="F10">LEFT(SUBSTITUTE(B10,A10,""),LEN(SUBSTITUTE(B10,A10,""))-1)</f>
        <v>C:\Users\Jerrison Chai\Documents\00 Shuei Company Documents</v>
      </c>
      <c r="G10" s="10">
        <f t="shared" si="0"/>
        <v>0</v>
      </c>
      <c r="H10" s="7" t="str">
        <f t="shared" si="1"/>
        <v>pdf</v>
      </c>
      <c r="I10" s="7" t="str">
        <f t="shared" si="2"/>
        <v/>
      </c>
      <c r="L10" s="7" t="str">
        <f t="shared" si="3"/>
        <v>00 Shuei Company Documents</v>
      </c>
      <c r="M10" s="10">
        <f t="shared" si="4"/>
        <v>0</v>
      </c>
      <c r="N10" s="7">
        <v>0</v>
      </c>
      <c r="O10" s="7" t="str">
        <f t="shared" si="5"/>
        <v>2024</v>
      </c>
      <c r="P10" s="7" t="str">
        <f t="shared" si="6"/>
        <v>1</v>
      </c>
      <c r="Q10" s="7" t="str">
        <f t="shared" si="7"/>
        <v>Jan</v>
      </c>
      <c r="R10" s="7" t="str">
        <f t="shared" si="8"/>
        <v>26</v>
      </c>
      <c r="S10" s="7" t="str">
        <f t="shared" si="9"/>
        <v>2024</v>
      </c>
      <c r="T10" s="7" t="str">
        <f t="shared" si="10"/>
        <v>1</v>
      </c>
      <c r="U10" s="7" t="str">
        <f t="shared" si="11"/>
        <v>Jan</v>
      </c>
      <c r="V10" s="7" t="str">
        <f t="shared" si="12"/>
        <v>26</v>
      </c>
    </row>
    <row r="11" spans="1:22" s="7" customFormat="1" x14ac:dyDescent="0.25">
      <c r="A11" s="7" t="s">
        <v>36</v>
      </c>
      <c r="B11" s="7" t="s">
        <v>37</v>
      </c>
      <c r="C11" s="8">
        <v>45614.456192129626</v>
      </c>
      <c r="D11" s="8">
        <v>45614.456192129626</v>
      </c>
      <c r="E11" s="9">
        <v>265140</v>
      </c>
      <c r="F11" s="7" t="str">
        <f t="array" ref="F11">LEFT(SUBSTITUTE(B11,A11,""),LEN(SUBSTITUTE(B11,A11,""))-1)</f>
        <v>C:\Users\Jerrison Chai\Documents\00 Shuei Company Documents</v>
      </c>
      <c r="G11" s="10">
        <f t="shared" si="0"/>
        <v>0</v>
      </c>
      <c r="H11" s="7" t="str">
        <f t="shared" si="1"/>
        <v>pdf</v>
      </c>
      <c r="I11" s="7" t="str">
        <f t="shared" si="2"/>
        <v/>
      </c>
      <c r="L11" s="7" t="str">
        <f t="shared" si="3"/>
        <v>00 Shuei Company Documents</v>
      </c>
      <c r="M11" s="10">
        <f t="shared" si="4"/>
        <v>0</v>
      </c>
      <c r="N11" s="7">
        <v>0</v>
      </c>
      <c r="O11" s="7" t="str">
        <f t="shared" si="5"/>
        <v>2024</v>
      </c>
      <c r="P11" s="7" t="str">
        <f t="shared" si="6"/>
        <v>4</v>
      </c>
      <c r="Q11" s="7" t="str">
        <f t="shared" si="7"/>
        <v>Nov</v>
      </c>
      <c r="R11" s="7" t="str">
        <f t="shared" si="8"/>
        <v>18</v>
      </c>
      <c r="S11" s="7" t="str">
        <f t="shared" si="9"/>
        <v>2024</v>
      </c>
      <c r="T11" s="7" t="str">
        <f t="shared" si="10"/>
        <v>4</v>
      </c>
      <c r="U11" s="7" t="str">
        <f t="shared" si="11"/>
        <v>Nov</v>
      </c>
      <c r="V11" s="7" t="str">
        <f t="shared" si="12"/>
        <v>18</v>
      </c>
    </row>
    <row r="12" spans="1:22" s="7" customFormat="1" x14ac:dyDescent="0.25">
      <c r="A12" s="7" t="s">
        <v>38</v>
      </c>
      <c r="B12" s="7" t="s">
        <v>39</v>
      </c>
      <c r="C12" s="8">
        <v>45293.490729166668</v>
      </c>
      <c r="D12" s="8">
        <v>45293.49082175926</v>
      </c>
      <c r="E12" s="9">
        <v>329219</v>
      </c>
      <c r="F12" s="7" t="str">
        <f t="array" ref="F12">LEFT(SUBSTITUTE(B12,A12,""),LEN(SUBSTITUTE(B12,A12,""))-1)</f>
        <v>C:\Users\Jerrison Chai\Documents\00 Shuei Company Documents</v>
      </c>
      <c r="G12" s="10">
        <f t="shared" si="0"/>
        <v>9.2592592409346253E-5</v>
      </c>
      <c r="H12" s="7" t="str">
        <f t="shared" si="1"/>
        <v>pdf</v>
      </c>
      <c r="I12" s="7" t="str">
        <f t="shared" si="2"/>
        <v/>
      </c>
      <c r="L12" s="7" t="str">
        <f t="shared" si="3"/>
        <v>00 Shuei Company Documents</v>
      </c>
      <c r="M12" s="10">
        <f t="shared" si="4"/>
        <v>9.2592592409346253E-5</v>
      </c>
      <c r="N12" s="7">
        <v>0</v>
      </c>
      <c r="O12" s="7" t="str">
        <f t="shared" si="5"/>
        <v>2024</v>
      </c>
      <c r="P12" s="7" t="str">
        <f t="shared" si="6"/>
        <v>1</v>
      </c>
      <c r="Q12" s="7" t="str">
        <f t="shared" si="7"/>
        <v>Jan</v>
      </c>
      <c r="R12" s="7" t="str">
        <f t="shared" si="8"/>
        <v>02</v>
      </c>
      <c r="S12" s="7" t="str">
        <f t="shared" si="9"/>
        <v>2024</v>
      </c>
      <c r="T12" s="7" t="str">
        <f t="shared" si="10"/>
        <v>1</v>
      </c>
      <c r="U12" s="7" t="str">
        <f t="shared" si="11"/>
        <v>Jan</v>
      </c>
      <c r="V12" s="7" t="str">
        <f t="shared" si="12"/>
        <v>02</v>
      </c>
    </row>
    <row r="13" spans="1:22" s="7" customFormat="1" x14ac:dyDescent="0.25">
      <c r="A13" s="7" t="s">
        <v>40</v>
      </c>
      <c r="B13" s="7" t="s">
        <v>41</v>
      </c>
      <c r="C13" s="8">
        <v>45397.385405092595</v>
      </c>
      <c r="D13" s="8">
        <v>45404.380370370367</v>
      </c>
      <c r="E13" s="9">
        <v>25430</v>
      </c>
      <c r="F13" s="7" t="str">
        <f t="array" ref="F13">LEFT(SUBSTITUTE(B13,A13,""),LEN(SUBSTITUTE(B13,A13,""))-1)</f>
        <v>C:\Users\Jerrison Chai\Documents\00 Shuei Company Documents\2024 Attendance Report</v>
      </c>
      <c r="G13" s="10">
        <f t="shared" si="0"/>
        <v>6.9949652777722804</v>
      </c>
      <c r="H13" s="7" t="str">
        <f t="shared" si="1"/>
        <v>xlsx</v>
      </c>
      <c r="I13" s="7" t="str">
        <f t="shared" si="2"/>
        <v/>
      </c>
      <c r="L13" s="7" t="str">
        <f t="shared" si="3"/>
        <v>2024 Attendance Report</v>
      </c>
      <c r="M13" s="10">
        <f t="shared" si="4"/>
        <v>6.9949652777722804</v>
      </c>
      <c r="N13" s="7">
        <v>0</v>
      </c>
      <c r="O13" s="7" t="str">
        <f t="shared" si="5"/>
        <v>2024</v>
      </c>
      <c r="P13" s="7" t="str">
        <f t="shared" si="6"/>
        <v>2</v>
      </c>
      <c r="Q13" s="7" t="str">
        <f t="shared" si="7"/>
        <v>Apr</v>
      </c>
      <c r="R13" s="7" t="str">
        <f t="shared" si="8"/>
        <v>15</v>
      </c>
      <c r="S13" s="7" t="str">
        <f t="shared" si="9"/>
        <v>2024</v>
      </c>
      <c r="T13" s="7" t="str">
        <f t="shared" si="10"/>
        <v>2</v>
      </c>
      <c r="U13" s="7" t="str">
        <f t="shared" si="11"/>
        <v>Apr</v>
      </c>
      <c r="V13" s="7" t="str">
        <f t="shared" si="12"/>
        <v>22</v>
      </c>
    </row>
    <row r="14" spans="1:22" s="7" customFormat="1" x14ac:dyDescent="0.25">
      <c r="A14" s="7" t="s">
        <v>42</v>
      </c>
      <c r="B14" s="7" t="s">
        <v>43</v>
      </c>
      <c r="C14" s="8">
        <v>45525.379907407405</v>
      </c>
      <c r="D14" s="8">
        <v>45525.3830787037</v>
      </c>
      <c r="E14" s="9">
        <v>39284</v>
      </c>
      <c r="F14" s="7" t="str">
        <f t="array" ref="F14">LEFT(SUBSTITUTE(B14,A14,""),LEN(SUBSTITUTE(B14,A14,""))-1)</f>
        <v>C:\Users\Jerrison Chai\Documents\00 Shuei Company Documents\2024 Attendance Report</v>
      </c>
      <c r="G14" s="10">
        <f t="shared" si="0"/>
        <v>3.1712962954770774E-3</v>
      </c>
      <c r="H14" s="7" t="str">
        <f t="shared" si="1"/>
        <v>xlsx</v>
      </c>
      <c r="I14" s="7" t="str">
        <f t="shared" si="2"/>
        <v/>
      </c>
      <c r="L14" s="7" t="str">
        <f t="shared" si="3"/>
        <v>2024 Attendance Report</v>
      </c>
      <c r="M14" s="10">
        <f t="shared" si="4"/>
        <v>3.1712962954770774E-3</v>
      </c>
      <c r="N14" s="7">
        <v>0</v>
      </c>
      <c r="O14" s="7" t="str">
        <f t="shared" si="5"/>
        <v>2024</v>
      </c>
      <c r="P14" s="7" t="str">
        <f t="shared" si="6"/>
        <v>3</v>
      </c>
      <c r="Q14" s="7" t="str">
        <f t="shared" si="7"/>
        <v>Aug</v>
      </c>
      <c r="R14" s="7" t="str">
        <f t="shared" si="8"/>
        <v>21</v>
      </c>
      <c r="S14" s="7" t="str">
        <f t="shared" si="9"/>
        <v>2024</v>
      </c>
      <c r="T14" s="7" t="str">
        <f t="shared" si="10"/>
        <v>3</v>
      </c>
      <c r="U14" s="7" t="str">
        <f t="shared" si="11"/>
        <v>Aug</v>
      </c>
      <c r="V14" s="7" t="str">
        <f t="shared" si="12"/>
        <v>21</v>
      </c>
    </row>
    <row r="15" spans="1:22" s="7" customFormat="1" x14ac:dyDescent="0.25">
      <c r="A15" s="7" t="s">
        <v>44</v>
      </c>
      <c r="B15" s="7" t="s">
        <v>45</v>
      </c>
      <c r="C15" s="8">
        <v>45342.715902777774</v>
      </c>
      <c r="D15" s="8">
        <v>45343.336053240739</v>
      </c>
      <c r="E15" s="9">
        <v>17525</v>
      </c>
      <c r="F15" s="7" t="str">
        <f t="array" ref="F15">LEFT(SUBSTITUTE(B15,A15,""),LEN(SUBSTITUTE(B15,A15,""))-1)</f>
        <v>C:\Users\Jerrison Chai\Documents\00 Shuei Company Documents\2024 Attendance Report</v>
      </c>
      <c r="G15" s="10">
        <f t="shared" si="0"/>
        <v>0.62015046296437504</v>
      </c>
      <c r="H15" s="7" t="str">
        <f t="shared" si="1"/>
        <v>xlsx</v>
      </c>
      <c r="I15" s="7" t="str">
        <f t="shared" si="2"/>
        <v/>
      </c>
      <c r="L15" s="7" t="str">
        <f t="shared" si="3"/>
        <v>2024 Attendance Report</v>
      </c>
      <c r="M15" s="10">
        <f t="shared" si="4"/>
        <v>0.62015046296437504</v>
      </c>
      <c r="N15" s="7">
        <v>0</v>
      </c>
      <c r="O15" s="7" t="str">
        <f t="shared" si="5"/>
        <v>2024</v>
      </c>
      <c r="P15" s="7" t="str">
        <f t="shared" si="6"/>
        <v>1</v>
      </c>
      <c r="Q15" s="7" t="str">
        <f t="shared" si="7"/>
        <v>Feb</v>
      </c>
      <c r="R15" s="7" t="str">
        <f t="shared" si="8"/>
        <v>20</v>
      </c>
      <c r="S15" s="7" t="str">
        <f t="shared" si="9"/>
        <v>2024</v>
      </c>
      <c r="T15" s="7" t="str">
        <f t="shared" si="10"/>
        <v>1</v>
      </c>
      <c r="U15" s="7" t="str">
        <f t="shared" si="11"/>
        <v>Feb</v>
      </c>
      <c r="V15" s="7" t="str">
        <f t="shared" si="12"/>
        <v>21</v>
      </c>
    </row>
    <row r="16" spans="1:22" s="7" customFormat="1" x14ac:dyDescent="0.25">
      <c r="A16" s="7" t="s">
        <v>46</v>
      </c>
      <c r="B16" s="7" t="s">
        <v>47</v>
      </c>
      <c r="C16" s="8">
        <v>45315.946504629632</v>
      </c>
      <c r="D16" s="8">
        <v>45315.946516203701</v>
      </c>
      <c r="E16" s="9">
        <v>15689</v>
      </c>
      <c r="F16" s="7" t="str">
        <f t="array" ref="F16">LEFT(SUBSTITUTE(B16,A16,""),LEN(SUBSTITUTE(B16,A16,""))-1)</f>
        <v>C:\Users\Jerrison Chai\Documents\00 Shuei Company Documents\2024 Attendance Report</v>
      </c>
      <c r="G16" s="10">
        <f t="shared" si="0"/>
        <v>1.1574069503694773E-5</v>
      </c>
      <c r="H16" s="7" t="str">
        <f t="shared" si="1"/>
        <v>xlsx</v>
      </c>
      <c r="I16" s="7" t="str">
        <f t="shared" si="2"/>
        <v/>
      </c>
      <c r="L16" s="7" t="str">
        <f t="shared" si="3"/>
        <v>2024 Attendance Report</v>
      </c>
      <c r="M16" s="10">
        <f t="shared" si="4"/>
        <v>1.1574069503694773E-5</v>
      </c>
      <c r="N16" s="7">
        <v>0</v>
      </c>
      <c r="O16" s="7" t="str">
        <f t="shared" si="5"/>
        <v>2024</v>
      </c>
      <c r="P16" s="7" t="str">
        <f t="shared" si="6"/>
        <v>1</v>
      </c>
      <c r="Q16" s="7" t="str">
        <f t="shared" si="7"/>
        <v>Jan</v>
      </c>
      <c r="R16" s="7" t="str">
        <f t="shared" si="8"/>
        <v>24</v>
      </c>
      <c r="S16" s="7" t="str">
        <f t="shared" si="9"/>
        <v>2024</v>
      </c>
      <c r="T16" s="7" t="str">
        <f t="shared" si="10"/>
        <v>1</v>
      </c>
      <c r="U16" s="7" t="str">
        <f t="shared" si="11"/>
        <v>Jan</v>
      </c>
      <c r="V16" s="7" t="str">
        <f t="shared" si="12"/>
        <v>24</v>
      </c>
    </row>
    <row r="17" spans="1:22" s="7" customFormat="1" x14ac:dyDescent="0.25">
      <c r="A17" s="7" t="s">
        <v>48</v>
      </c>
      <c r="B17" s="7" t="s">
        <v>49</v>
      </c>
      <c r="C17" s="8">
        <v>45492.73101851852</v>
      </c>
      <c r="D17" s="8">
        <v>45495.375300925924</v>
      </c>
      <c r="E17" s="9">
        <v>36212</v>
      </c>
      <c r="F17" s="7" t="str">
        <f t="array" ref="F17">LEFT(SUBSTITUTE(B17,A17,""),LEN(SUBSTITUTE(B17,A17,""))-1)</f>
        <v>C:\Users\Jerrison Chai\Documents\00 Shuei Company Documents\2024 Attendance Report</v>
      </c>
      <c r="G17" s="10">
        <f t="shared" si="0"/>
        <v>2.6442824074038072</v>
      </c>
      <c r="H17" s="7" t="str">
        <f t="shared" si="1"/>
        <v>xlsx</v>
      </c>
      <c r="I17" s="7" t="str">
        <f t="shared" si="2"/>
        <v/>
      </c>
      <c r="L17" s="7" t="str">
        <f t="shared" si="3"/>
        <v>2024 Attendance Report</v>
      </c>
      <c r="M17" s="10">
        <f t="shared" si="4"/>
        <v>2.6442824074038072</v>
      </c>
      <c r="N17" s="7">
        <v>0</v>
      </c>
      <c r="O17" s="7" t="str">
        <f t="shared" si="5"/>
        <v>2024</v>
      </c>
      <c r="P17" s="7" t="str">
        <f t="shared" si="6"/>
        <v>3</v>
      </c>
      <c r="Q17" s="7" t="str">
        <f t="shared" si="7"/>
        <v>Jul</v>
      </c>
      <c r="R17" s="7" t="str">
        <f t="shared" si="8"/>
        <v>19</v>
      </c>
      <c r="S17" s="7" t="str">
        <f t="shared" si="9"/>
        <v>2024</v>
      </c>
      <c r="T17" s="7" t="str">
        <f t="shared" si="10"/>
        <v>3</v>
      </c>
      <c r="U17" s="7" t="str">
        <f t="shared" si="11"/>
        <v>Jul</v>
      </c>
      <c r="V17" s="7" t="str">
        <f t="shared" si="12"/>
        <v>22</v>
      </c>
    </row>
    <row r="18" spans="1:22" s="7" customFormat="1" x14ac:dyDescent="0.25">
      <c r="A18" s="7" t="s">
        <v>50</v>
      </c>
      <c r="B18" s="7" t="s">
        <v>51</v>
      </c>
      <c r="C18" s="8">
        <v>45461.597303240742</v>
      </c>
      <c r="D18" s="8">
        <v>45461.600532407407</v>
      </c>
      <c r="E18" s="9">
        <v>32297</v>
      </c>
      <c r="F18" s="7" t="str">
        <f t="array" ref="F18">LEFT(SUBSTITUTE(B18,A18,""),LEN(SUBSTITUTE(B18,A18,""))-1)</f>
        <v>C:\Users\Jerrison Chai\Documents\00 Shuei Company Documents\2024 Attendance Report</v>
      </c>
      <c r="G18" s="10">
        <f t="shared" si="0"/>
        <v>3.2291666648234241E-3</v>
      </c>
      <c r="H18" s="7" t="str">
        <f t="shared" si="1"/>
        <v>xlsx</v>
      </c>
      <c r="I18" s="7" t="str">
        <f t="shared" si="2"/>
        <v/>
      </c>
      <c r="L18" s="7" t="str">
        <f t="shared" si="3"/>
        <v>2024 Attendance Report</v>
      </c>
      <c r="M18" s="10">
        <f t="shared" si="4"/>
        <v>3.2291666648234241E-3</v>
      </c>
      <c r="N18" s="7">
        <v>0</v>
      </c>
      <c r="O18" s="7" t="str">
        <f t="shared" si="5"/>
        <v>2024</v>
      </c>
      <c r="P18" s="7" t="str">
        <f t="shared" si="6"/>
        <v>2</v>
      </c>
      <c r="Q18" s="7" t="str">
        <f t="shared" si="7"/>
        <v>Jun</v>
      </c>
      <c r="R18" s="7" t="str">
        <f t="shared" si="8"/>
        <v>18</v>
      </c>
      <c r="S18" s="7" t="str">
        <f t="shared" si="9"/>
        <v>2024</v>
      </c>
      <c r="T18" s="7" t="str">
        <f t="shared" si="10"/>
        <v>2</v>
      </c>
      <c r="U18" s="7" t="str">
        <f t="shared" si="11"/>
        <v>Jun</v>
      </c>
      <c r="V18" s="7" t="str">
        <f t="shared" si="12"/>
        <v>18</v>
      </c>
    </row>
    <row r="19" spans="1:22" s="7" customFormat="1" x14ac:dyDescent="0.25">
      <c r="A19" s="7" t="s">
        <v>52</v>
      </c>
      <c r="B19" s="7" t="s">
        <v>53</v>
      </c>
      <c r="C19" s="8">
        <v>45369.470937500002</v>
      </c>
      <c r="D19" s="8">
        <v>45371.48065972222</v>
      </c>
      <c r="E19" s="9">
        <v>22160</v>
      </c>
      <c r="F19" s="7" t="str">
        <f t="array" ref="F19">LEFT(SUBSTITUTE(B19,A19,""),LEN(SUBSTITUTE(B19,A19,""))-1)</f>
        <v>C:\Users\Jerrison Chai\Documents\00 Shuei Company Documents\2024 Attendance Report</v>
      </c>
      <c r="G19" s="10">
        <f t="shared" si="0"/>
        <v>2.0097222222175333</v>
      </c>
      <c r="H19" s="7" t="str">
        <f t="shared" si="1"/>
        <v>xlsx</v>
      </c>
      <c r="I19" s="7" t="str">
        <f t="shared" si="2"/>
        <v/>
      </c>
      <c r="L19" s="7" t="str">
        <f t="shared" si="3"/>
        <v>2024 Attendance Report</v>
      </c>
      <c r="M19" s="10">
        <f t="shared" si="4"/>
        <v>2.0097222222175333</v>
      </c>
      <c r="N19" s="7">
        <v>0</v>
      </c>
      <c r="O19" s="7" t="str">
        <f t="shared" si="5"/>
        <v>2024</v>
      </c>
      <c r="P19" s="7" t="str">
        <f t="shared" si="6"/>
        <v>1</v>
      </c>
      <c r="Q19" s="7" t="str">
        <f t="shared" si="7"/>
        <v>Mar</v>
      </c>
      <c r="R19" s="7" t="str">
        <f t="shared" si="8"/>
        <v>18</v>
      </c>
      <c r="S19" s="7" t="str">
        <f t="shared" si="9"/>
        <v>2024</v>
      </c>
      <c r="T19" s="7" t="str">
        <f t="shared" si="10"/>
        <v>1</v>
      </c>
      <c r="U19" s="7" t="str">
        <f t="shared" si="11"/>
        <v>Mar</v>
      </c>
      <c r="V19" s="7" t="str">
        <f t="shared" si="12"/>
        <v>20</v>
      </c>
    </row>
    <row r="20" spans="1:22" s="7" customFormat="1" x14ac:dyDescent="0.25">
      <c r="A20" s="7" t="s">
        <v>54</v>
      </c>
      <c r="B20" s="7" t="s">
        <v>55</v>
      </c>
      <c r="C20" s="8">
        <v>45433.457361111112</v>
      </c>
      <c r="D20" s="8">
        <v>45433.459664351853</v>
      </c>
      <c r="E20" s="9">
        <v>29050</v>
      </c>
      <c r="F20" s="7" t="str">
        <f t="array" ref="F20">LEFT(SUBSTITUTE(B20,A20,""),LEN(SUBSTITUTE(B20,A20,""))-1)</f>
        <v>C:\Users\Jerrison Chai\Documents\00 Shuei Company Documents\2024 Attendance Report</v>
      </c>
      <c r="G20" s="10">
        <f t="shared" si="0"/>
        <v>2.3032407407299615E-3</v>
      </c>
      <c r="H20" s="7" t="str">
        <f t="shared" si="1"/>
        <v>xlsx</v>
      </c>
      <c r="I20" s="7" t="str">
        <f t="shared" si="2"/>
        <v/>
      </c>
      <c r="L20" s="7" t="str">
        <f t="shared" si="3"/>
        <v>2024 Attendance Report</v>
      </c>
      <c r="M20" s="10">
        <f t="shared" si="4"/>
        <v>2.3032407407299615E-3</v>
      </c>
      <c r="N20" s="7">
        <v>0</v>
      </c>
      <c r="O20" s="7" t="str">
        <f t="shared" si="5"/>
        <v>2024</v>
      </c>
      <c r="P20" s="7" t="str">
        <f t="shared" si="6"/>
        <v>2</v>
      </c>
      <c r="Q20" s="7" t="str">
        <f t="shared" si="7"/>
        <v>May</v>
      </c>
      <c r="R20" s="7" t="str">
        <f t="shared" si="8"/>
        <v>21</v>
      </c>
      <c r="S20" s="7" t="str">
        <f t="shared" si="9"/>
        <v>2024</v>
      </c>
      <c r="T20" s="7" t="str">
        <f t="shared" si="10"/>
        <v>2</v>
      </c>
      <c r="U20" s="7" t="str">
        <f t="shared" si="11"/>
        <v>May</v>
      </c>
      <c r="V20" s="7" t="str">
        <f t="shared" si="12"/>
        <v>21</v>
      </c>
    </row>
    <row r="21" spans="1:22" s="7" customFormat="1" x14ac:dyDescent="0.25">
      <c r="A21" s="7" t="s">
        <v>56</v>
      </c>
      <c r="B21" s="7" t="s">
        <v>57</v>
      </c>
      <c r="C21" s="8">
        <v>45614.404791666668</v>
      </c>
      <c r="D21" s="8">
        <v>45616.447395833333</v>
      </c>
      <c r="E21" s="9">
        <v>55627</v>
      </c>
      <c r="F21" s="7" t="str">
        <f t="array" ref="F21">LEFT(SUBSTITUTE(B21,A21,""),LEN(SUBSTITUTE(B21,A21,""))-1)</f>
        <v>C:\Users\Jerrison Chai\Documents\00 Shuei Company Documents\2024 Attendance Report</v>
      </c>
      <c r="G21" s="10">
        <f t="shared" si="0"/>
        <v>2.0426041666651145</v>
      </c>
      <c r="H21" s="7" t="str">
        <f t="shared" si="1"/>
        <v>xlsx</v>
      </c>
      <c r="I21" s="7" t="str">
        <f t="shared" si="2"/>
        <v/>
      </c>
      <c r="L21" s="7" t="str">
        <f t="shared" si="3"/>
        <v>2024 Attendance Report</v>
      </c>
      <c r="M21" s="10">
        <f t="shared" si="4"/>
        <v>2.0426041666651145</v>
      </c>
      <c r="N21" s="7">
        <v>0</v>
      </c>
      <c r="O21" s="7" t="str">
        <f t="shared" si="5"/>
        <v>2024</v>
      </c>
      <c r="P21" s="7" t="str">
        <f t="shared" si="6"/>
        <v>4</v>
      </c>
      <c r="Q21" s="7" t="str">
        <f t="shared" si="7"/>
        <v>Nov</v>
      </c>
      <c r="R21" s="7" t="str">
        <f t="shared" si="8"/>
        <v>18</v>
      </c>
      <c r="S21" s="7" t="str">
        <f t="shared" si="9"/>
        <v>2024</v>
      </c>
      <c r="T21" s="7" t="str">
        <f t="shared" si="10"/>
        <v>4</v>
      </c>
      <c r="U21" s="7" t="str">
        <f t="shared" si="11"/>
        <v>Nov</v>
      </c>
      <c r="V21" s="7" t="str">
        <f t="shared" si="12"/>
        <v>20</v>
      </c>
    </row>
    <row r="22" spans="1:22" s="7" customFormat="1" x14ac:dyDescent="0.25">
      <c r="A22" s="7" t="s">
        <v>58</v>
      </c>
      <c r="B22" s="7" t="s">
        <v>59</v>
      </c>
      <c r="C22" s="8">
        <v>45586.485648148147</v>
      </c>
      <c r="D22" s="8">
        <v>45586.48777777778</v>
      </c>
      <c r="E22" s="9">
        <v>50982</v>
      </c>
      <c r="F22" s="7" t="str">
        <f t="array" ref="F22">LEFT(SUBSTITUTE(B22,A22,""),LEN(SUBSTITUTE(B22,A22,""))-1)</f>
        <v>C:\Users\Jerrison Chai\Documents\00 Shuei Company Documents\2024 Attendance Report</v>
      </c>
      <c r="G22" s="10">
        <f t="shared" si="0"/>
        <v>2.1296296326909214E-3</v>
      </c>
      <c r="H22" s="7" t="str">
        <f t="shared" si="1"/>
        <v>xlsx</v>
      </c>
      <c r="I22" s="7" t="str">
        <f t="shared" si="2"/>
        <v/>
      </c>
      <c r="L22" s="7" t="str">
        <f t="shared" si="3"/>
        <v>2024 Attendance Report</v>
      </c>
      <c r="M22" s="10">
        <f t="shared" si="4"/>
        <v>2.1296296326909214E-3</v>
      </c>
      <c r="N22" s="7">
        <v>0</v>
      </c>
      <c r="O22" s="7" t="str">
        <f t="shared" si="5"/>
        <v>2024</v>
      </c>
      <c r="P22" s="7" t="str">
        <f t="shared" si="6"/>
        <v>4</v>
      </c>
      <c r="Q22" s="7" t="str">
        <f t="shared" si="7"/>
        <v>Oct</v>
      </c>
      <c r="R22" s="7" t="str">
        <f t="shared" si="8"/>
        <v>21</v>
      </c>
      <c r="S22" s="7" t="str">
        <f t="shared" si="9"/>
        <v>2024</v>
      </c>
      <c r="T22" s="7" t="str">
        <f t="shared" si="10"/>
        <v>4</v>
      </c>
      <c r="U22" s="7" t="str">
        <f t="shared" si="11"/>
        <v>Oct</v>
      </c>
      <c r="V22" s="7" t="str">
        <f t="shared" si="12"/>
        <v>21</v>
      </c>
    </row>
    <row r="23" spans="1:22" s="7" customFormat="1" x14ac:dyDescent="0.25">
      <c r="A23" s="7" t="s">
        <v>60</v>
      </c>
      <c r="B23" s="7" t="s">
        <v>61</v>
      </c>
      <c r="C23" s="8">
        <v>45555.377500000002</v>
      </c>
      <c r="D23" s="8">
        <v>45555.383379629631</v>
      </c>
      <c r="E23" s="9">
        <v>46204</v>
      </c>
      <c r="F23" s="7" t="str">
        <f t="array" ref="F23">LEFT(SUBSTITUTE(B23,A23,""),LEN(SUBSTITUTE(B23,A23,""))-1)</f>
        <v>C:\Users\Jerrison Chai\Documents\00 Shuei Company Documents\2024 Attendance Report</v>
      </c>
      <c r="G23" s="10">
        <f t="shared" si="0"/>
        <v>5.8796296289074235E-3</v>
      </c>
      <c r="H23" s="7" t="str">
        <f t="shared" si="1"/>
        <v>xlsx</v>
      </c>
      <c r="I23" s="7" t="str">
        <f t="shared" si="2"/>
        <v/>
      </c>
      <c r="L23" s="7" t="str">
        <f t="shared" si="3"/>
        <v>2024 Attendance Report</v>
      </c>
      <c r="M23" s="10">
        <f t="shared" si="4"/>
        <v>5.8796296289074235E-3</v>
      </c>
      <c r="N23" s="7">
        <v>0</v>
      </c>
      <c r="O23" s="7" t="str">
        <f t="shared" si="5"/>
        <v>2024</v>
      </c>
      <c r="P23" s="7" t="str">
        <f t="shared" si="6"/>
        <v>3</v>
      </c>
      <c r="Q23" s="7" t="str">
        <f t="shared" si="7"/>
        <v>Sep</v>
      </c>
      <c r="R23" s="7" t="str">
        <f t="shared" si="8"/>
        <v>20</v>
      </c>
      <c r="S23" s="7" t="str">
        <f t="shared" si="9"/>
        <v>2024</v>
      </c>
      <c r="T23" s="7" t="str">
        <f t="shared" si="10"/>
        <v>3</v>
      </c>
      <c r="U23" s="7" t="str">
        <f t="shared" si="11"/>
        <v>Sep</v>
      </c>
      <c r="V23" s="7" t="str">
        <f t="shared" si="12"/>
        <v>20</v>
      </c>
    </row>
    <row r="24" spans="1:22" s="7" customFormat="1" x14ac:dyDescent="0.25">
      <c r="A24" s="11" t="s">
        <v>62</v>
      </c>
      <c r="B24" s="7" t="s">
        <v>63</v>
      </c>
      <c r="C24" s="8">
        <v>45342.662777777776</v>
      </c>
      <c r="D24" s="8">
        <v>45614.410428240742</v>
      </c>
      <c r="E24" s="9">
        <v>48900</v>
      </c>
      <c r="F24" s="7" t="str">
        <f t="array" ref="F24">LEFT(SUBSTITUTE(B24,A24,""),LEN(SUBSTITUTE(B24,A24,""))-1)</f>
        <v>C:\Users\Jerrison Chai\Documents\00 Shuei Company Documents\2024 Attendance Report</v>
      </c>
      <c r="G24" s="10">
        <f t="shared" si="0"/>
        <v>271.7476504629667</v>
      </c>
      <c r="H24" s="7" t="str">
        <f t="shared" si="1"/>
        <v>xlsm</v>
      </c>
      <c r="I24" s="7" t="str">
        <f t="shared" si="2"/>
        <v>Template</v>
      </c>
      <c r="L24" s="7" t="str">
        <f t="shared" si="3"/>
        <v>2024 Attendance Report</v>
      </c>
      <c r="M24" s="10">
        <f t="shared" si="4"/>
        <v>271.7476504629667</v>
      </c>
      <c r="N24" s="7">
        <v>0</v>
      </c>
      <c r="O24" s="7" t="str">
        <f t="shared" si="5"/>
        <v>2024</v>
      </c>
      <c r="P24" s="7" t="str">
        <f t="shared" si="6"/>
        <v>1</v>
      </c>
      <c r="Q24" s="7" t="str">
        <f t="shared" si="7"/>
        <v>Feb</v>
      </c>
      <c r="R24" s="7" t="str">
        <f t="shared" si="8"/>
        <v>20</v>
      </c>
      <c r="S24" s="7" t="str">
        <f t="shared" si="9"/>
        <v>2024</v>
      </c>
      <c r="T24" s="7" t="str">
        <f t="shared" si="10"/>
        <v>4</v>
      </c>
      <c r="U24" s="7" t="str">
        <f t="shared" si="11"/>
        <v>Nov</v>
      </c>
      <c r="V24" s="7" t="str">
        <f t="shared" si="12"/>
        <v>18</v>
      </c>
    </row>
    <row r="25" spans="1:22" s="7" customFormat="1" x14ac:dyDescent="0.25">
      <c r="A25" s="11" t="s">
        <v>64</v>
      </c>
      <c r="B25" s="7" t="s">
        <v>65</v>
      </c>
      <c r="C25" s="8">
        <v>45337.396469907406</v>
      </c>
      <c r="D25" s="8">
        <v>45597.649560185186</v>
      </c>
      <c r="E25" s="9">
        <v>46883</v>
      </c>
      <c r="F25" s="7" t="str">
        <f t="array" ref="F25">LEFT(SUBSTITUTE(B25,A25,""),LEN(SUBSTITUTE(B25,A25,""))-1)</f>
        <v>C:\Users\Jerrison Chai\Documents\00 Shuei Company Documents\Monthly report to Director</v>
      </c>
      <c r="G25" s="10">
        <f t="shared" si="0"/>
        <v>260.25309027777985</v>
      </c>
      <c r="H25" s="7" t="str">
        <f t="shared" si="1"/>
        <v>xlsm</v>
      </c>
      <c r="I25" s="7" t="str">
        <f t="shared" si="2"/>
        <v>Template</v>
      </c>
      <c r="L25" s="7" t="str">
        <f t="shared" si="3"/>
        <v>Monthly report to Director</v>
      </c>
      <c r="M25" s="10">
        <f t="shared" si="4"/>
        <v>260.25309027777985</v>
      </c>
      <c r="N25" s="7">
        <v>0</v>
      </c>
      <c r="O25" s="7" t="str">
        <f t="shared" si="5"/>
        <v>2024</v>
      </c>
      <c r="P25" s="7" t="str">
        <f t="shared" si="6"/>
        <v>1</v>
      </c>
      <c r="Q25" s="7" t="str">
        <f t="shared" si="7"/>
        <v>Feb</v>
      </c>
      <c r="R25" s="7" t="str">
        <f t="shared" si="8"/>
        <v>15</v>
      </c>
      <c r="S25" s="7" t="str">
        <f t="shared" si="9"/>
        <v>2024</v>
      </c>
      <c r="T25" s="7" t="str">
        <f t="shared" si="10"/>
        <v>4</v>
      </c>
      <c r="U25" s="7" t="str">
        <f t="shared" si="11"/>
        <v>Nov</v>
      </c>
      <c r="V25" s="7" t="str">
        <f t="shared" si="12"/>
        <v>01</v>
      </c>
    </row>
    <row r="26" spans="1:22" s="7" customFormat="1" x14ac:dyDescent="0.25">
      <c r="A26" s="7" t="s">
        <v>66</v>
      </c>
      <c r="B26" s="7" t="s">
        <v>67</v>
      </c>
      <c r="C26" s="8">
        <v>45568.480300925927</v>
      </c>
      <c r="D26" s="8">
        <v>45568.525023148148</v>
      </c>
      <c r="E26" s="9">
        <v>10561</v>
      </c>
      <c r="F26" s="7" t="str">
        <f t="array" ref="F26">LEFT(SUBSTITUTE(B26,A26,""),LEN(SUBSTITUTE(B26,A26,""))-1)</f>
        <v>C:\Users\Jerrison Chai\Documents\00 Shuei Company Documents\Monthly report to Director</v>
      </c>
      <c r="G26" s="10">
        <f t="shared" si="0"/>
        <v>4.4722222221025731E-2</v>
      </c>
      <c r="H26" s="7" t="str">
        <f t="shared" si="1"/>
        <v>xlsx</v>
      </c>
      <c r="I26" s="7" t="str">
        <f t="shared" si="2"/>
        <v/>
      </c>
      <c r="L26" s="7" t="str">
        <f t="shared" si="3"/>
        <v>Monthly report to Director</v>
      </c>
      <c r="M26" s="10">
        <f t="shared" si="4"/>
        <v>4.4722222221025731E-2</v>
      </c>
      <c r="N26" s="7">
        <v>0</v>
      </c>
      <c r="O26" s="7" t="str">
        <f t="shared" si="5"/>
        <v>2024</v>
      </c>
      <c r="P26" s="7" t="str">
        <f t="shared" si="6"/>
        <v>4</v>
      </c>
      <c r="Q26" s="7" t="str">
        <f t="shared" si="7"/>
        <v>Oct</v>
      </c>
      <c r="R26" s="7" t="str">
        <f t="shared" si="8"/>
        <v>03</v>
      </c>
      <c r="S26" s="7" t="str">
        <f t="shared" si="9"/>
        <v>2024</v>
      </c>
      <c r="T26" s="7" t="str">
        <f t="shared" si="10"/>
        <v>4</v>
      </c>
      <c r="U26" s="7" t="str">
        <f t="shared" si="11"/>
        <v>Oct</v>
      </c>
      <c r="V26" s="7" t="str">
        <f t="shared" si="12"/>
        <v>03</v>
      </c>
    </row>
    <row r="27" spans="1:22" s="7" customFormat="1" x14ac:dyDescent="0.25">
      <c r="A27" s="7" t="s">
        <v>68</v>
      </c>
      <c r="B27" s="7" t="s">
        <v>69</v>
      </c>
      <c r="C27" s="8">
        <v>45447.385289351849</v>
      </c>
      <c r="D27" s="8">
        <v>45447.385289351849</v>
      </c>
      <c r="E27" s="9">
        <v>487</v>
      </c>
      <c r="F27" s="7" t="str">
        <f t="array" ref="F27">LEFT(SUBSTITUTE(B27,A27,""),LEN(SUBSTITUTE(B27,A27,""))-1)</f>
        <v>C:\Users\Jerrison Chai\Documents\00 Shuei Company Documents\Monthly report to Director</v>
      </c>
      <c r="G27" s="10">
        <f t="shared" si="0"/>
        <v>0</v>
      </c>
      <c r="H27" s="7" t="str">
        <f t="shared" si="1"/>
        <v>txt</v>
      </c>
      <c r="I27" s="7" t="str">
        <f t="shared" si="2"/>
        <v/>
      </c>
      <c r="L27" s="7" t="str">
        <f t="shared" si="3"/>
        <v>Monthly report to Director</v>
      </c>
      <c r="M27" s="10">
        <f t="shared" si="4"/>
        <v>0</v>
      </c>
      <c r="N27" s="7">
        <v>0</v>
      </c>
      <c r="O27" s="7" t="str">
        <f t="shared" si="5"/>
        <v>2024</v>
      </c>
      <c r="P27" s="7" t="str">
        <f t="shared" si="6"/>
        <v>2</v>
      </c>
      <c r="Q27" s="7" t="str">
        <f t="shared" si="7"/>
        <v>Jun</v>
      </c>
      <c r="R27" s="7" t="str">
        <f t="shared" si="8"/>
        <v>04</v>
      </c>
      <c r="S27" s="7" t="str">
        <f t="shared" si="9"/>
        <v>2024</v>
      </c>
      <c r="T27" s="7" t="str">
        <f t="shared" si="10"/>
        <v>2</v>
      </c>
      <c r="U27" s="7" t="str">
        <f t="shared" si="11"/>
        <v>Jun</v>
      </c>
      <c r="V27" s="7" t="str">
        <f t="shared" si="12"/>
        <v>04</v>
      </c>
    </row>
    <row r="28" spans="1:22" s="7" customFormat="1" x14ac:dyDescent="0.25">
      <c r="A28" s="7" t="s">
        <v>70</v>
      </c>
      <c r="B28" s="7" t="s">
        <v>71</v>
      </c>
      <c r="C28" s="8">
        <v>45558.673935185187</v>
      </c>
      <c r="D28" s="8">
        <v>45558.686018518521</v>
      </c>
      <c r="E28" s="9">
        <v>12769</v>
      </c>
      <c r="F28" s="7" t="str">
        <f t="array" ref="F28">LEFT(SUBSTITUTE(B28,A28,""),LEN(SUBSTITUTE(B28,A28,""))-1)</f>
        <v>C:\Users\Jerrison Chai\Documents\00 Shuei Company Documents\Monthly report to Director</v>
      </c>
      <c r="G28" s="10">
        <f t="shared" si="0"/>
        <v>1.2083333334885538E-2</v>
      </c>
      <c r="H28" s="7" t="str">
        <f t="shared" si="1"/>
        <v>xlsx</v>
      </c>
      <c r="I28" s="7" t="str">
        <f t="shared" si="2"/>
        <v/>
      </c>
      <c r="L28" s="7" t="str">
        <f t="shared" si="3"/>
        <v>Monthly report to Director</v>
      </c>
      <c r="M28" s="10">
        <f t="shared" si="4"/>
        <v>1.2083333334885538E-2</v>
      </c>
      <c r="N28" s="7">
        <v>0</v>
      </c>
      <c r="O28" s="7" t="str">
        <f t="shared" si="5"/>
        <v>2024</v>
      </c>
      <c r="P28" s="7" t="str">
        <f t="shared" si="6"/>
        <v>3</v>
      </c>
      <c r="Q28" s="7" t="str">
        <f t="shared" si="7"/>
        <v>Sep</v>
      </c>
      <c r="R28" s="7" t="str">
        <f t="shared" si="8"/>
        <v>23</v>
      </c>
      <c r="S28" s="7" t="str">
        <f t="shared" si="9"/>
        <v>2024</v>
      </c>
      <c r="T28" s="7" t="str">
        <f t="shared" si="10"/>
        <v>3</v>
      </c>
      <c r="U28" s="7" t="str">
        <f t="shared" si="11"/>
        <v>Sep</v>
      </c>
      <c r="V28" s="7" t="str">
        <f t="shared" si="12"/>
        <v>23</v>
      </c>
    </row>
    <row r="29" spans="1:22" s="7" customFormat="1" x14ac:dyDescent="0.25">
      <c r="A29" s="7" t="s">
        <v>72</v>
      </c>
      <c r="B29" s="7" t="s">
        <v>73</v>
      </c>
      <c r="C29" s="8">
        <v>45330.655752314815</v>
      </c>
      <c r="D29" s="8">
        <v>45330.655763888892</v>
      </c>
      <c r="E29" s="9">
        <v>79179</v>
      </c>
      <c r="F29" s="7" t="str">
        <f t="array" ref="F29">LEFT(SUBSTITUTE(B29,A29,""),LEN(SUBSTITUTE(B29,A29,""))-1)</f>
        <v>C:\Users\Jerrison Chai\Documents\00 Shuei Company Documents\Monthly report to Director</v>
      </c>
      <c r="G29" s="10">
        <f t="shared" si="0"/>
        <v>1.1574076779652387E-5</v>
      </c>
      <c r="H29" s="7" t="str">
        <f t="shared" si="1"/>
        <v>xlsx</v>
      </c>
      <c r="I29" s="7" t="str">
        <f t="shared" si="2"/>
        <v/>
      </c>
      <c r="L29" s="7" t="str">
        <f t="shared" si="3"/>
        <v>Monthly report to Director</v>
      </c>
      <c r="M29" s="10">
        <f t="shared" si="4"/>
        <v>1.1574076779652387E-5</v>
      </c>
      <c r="N29" s="7">
        <v>0</v>
      </c>
      <c r="O29" s="7" t="str">
        <f t="shared" si="5"/>
        <v>2024</v>
      </c>
      <c r="P29" s="7" t="str">
        <f t="shared" si="6"/>
        <v>1</v>
      </c>
      <c r="Q29" s="7" t="str">
        <f t="shared" si="7"/>
        <v>Feb</v>
      </c>
      <c r="R29" s="7" t="str">
        <f t="shared" si="8"/>
        <v>08</v>
      </c>
      <c r="S29" s="7" t="str">
        <f t="shared" si="9"/>
        <v>2024</v>
      </c>
      <c r="T29" s="7" t="str">
        <f t="shared" si="10"/>
        <v>1</v>
      </c>
      <c r="U29" s="7" t="str">
        <f t="shared" si="11"/>
        <v>Feb</v>
      </c>
      <c r="V29" s="7" t="str">
        <f t="shared" si="12"/>
        <v>08</v>
      </c>
    </row>
    <row r="30" spans="1:22" s="7" customFormat="1" x14ac:dyDescent="0.25">
      <c r="A30" s="7" t="s">
        <v>74</v>
      </c>
      <c r="B30" s="7" t="s">
        <v>75</v>
      </c>
      <c r="C30" s="8">
        <v>45321.395011574074</v>
      </c>
      <c r="D30" s="8">
        <v>45324.724456018521</v>
      </c>
      <c r="E30" s="9">
        <v>929820</v>
      </c>
      <c r="F30" s="7" t="str">
        <f t="array" ref="F30">LEFT(SUBSTITUTE(B30,A30,""),LEN(SUBSTITUTE(B30,A30,""))-1)</f>
        <v>C:\Users\Jerrison Chai\Documents\00 Shuei Company Documents\Monthly report to Director</v>
      </c>
      <c r="G30" s="10">
        <f t="shared" si="0"/>
        <v>3.3294444444472902</v>
      </c>
      <c r="H30" s="7" t="str">
        <f t="shared" si="1"/>
        <v>pdf</v>
      </c>
      <c r="I30" s="7" t="str">
        <f t="shared" si="2"/>
        <v/>
      </c>
      <c r="L30" s="7" t="str">
        <f t="shared" si="3"/>
        <v>Monthly report to Director</v>
      </c>
      <c r="M30" s="10">
        <f t="shared" si="4"/>
        <v>3.3294444444472902</v>
      </c>
      <c r="N30" s="7">
        <v>0</v>
      </c>
      <c r="O30" s="7" t="str">
        <f t="shared" si="5"/>
        <v>2024</v>
      </c>
      <c r="P30" s="7" t="str">
        <f t="shared" si="6"/>
        <v>1</v>
      </c>
      <c r="Q30" s="7" t="str">
        <f t="shared" si="7"/>
        <v>Jan</v>
      </c>
      <c r="R30" s="7" t="str">
        <f t="shared" si="8"/>
        <v>30</v>
      </c>
      <c r="S30" s="7" t="str">
        <f t="shared" si="9"/>
        <v>2024</v>
      </c>
      <c r="T30" s="7" t="str">
        <f t="shared" si="10"/>
        <v>1</v>
      </c>
      <c r="U30" s="7" t="str">
        <f t="shared" si="11"/>
        <v>Feb</v>
      </c>
      <c r="V30" s="7" t="str">
        <f t="shared" si="12"/>
        <v>02</v>
      </c>
    </row>
    <row r="31" spans="1:22" s="7" customFormat="1" x14ac:dyDescent="0.25">
      <c r="A31" s="7" t="s">
        <v>76</v>
      </c>
      <c r="B31" s="7" t="s">
        <v>77</v>
      </c>
      <c r="C31" s="8">
        <v>45320.676550925928</v>
      </c>
      <c r="D31" s="8">
        <v>45324.725034722222</v>
      </c>
      <c r="E31" s="9">
        <v>72188</v>
      </c>
      <c r="F31" s="7" t="str">
        <f t="array" ref="F31">LEFT(SUBSTITUTE(B31,A31,""),LEN(SUBSTITUTE(B31,A31,""))-1)</f>
        <v>C:\Users\Jerrison Chai\Documents\00 Shuei Company Documents\Monthly report to Director</v>
      </c>
      <c r="G31" s="10">
        <f t="shared" si="0"/>
        <v>4.0484837962940219</v>
      </c>
      <c r="H31" s="7" t="str">
        <f t="shared" si="1"/>
        <v>xlsx</v>
      </c>
      <c r="I31" s="7" t="str">
        <f t="shared" si="2"/>
        <v/>
      </c>
      <c r="L31" s="7" t="str">
        <f t="shared" si="3"/>
        <v>Monthly report to Director</v>
      </c>
      <c r="M31" s="10">
        <f t="shared" si="4"/>
        <v>4.0484837962940219</v>
      </c>
      <c r="N31" s="7">
        <v>0</v>
      </c>
      <c r="O31" s="7" t="str">
        <f t="shared" si="5"/>
        <v>2024</v>
      </c>
      <c r="P31" s="7" t="str">
        <f t="shared" si="6"/>
        <v>1</v>
      </c>
      <c r="Q31" s="7" t="str">
        <f t="shared" si="7"/>
        <v>Jan</v>
      </c>
      <c r="R31" s="7" t="str">
        <f t="shared" si="8"/>
        <v>29</v>
      </c>
      <c r="S31" s="7" t="str">
        <f t="shared" si="9"/>
        <v>2024</v>
      </c>
      <c r="T31" s="7" t="str">
        <f t="shared" si="10"/>
        <v>1</v>
      </c>
      <c r="U31" s="7" t="str">
        <f t="shared" si="11"/>
        <v>Feb</v>
      </c>
      <c r="V31" s="7" t="str">
        <f t="shared" si="12"/>
        <v>02</v>
      </c>
    </row>
    <row r="32" spans="1:22" s="7" customFormat="1" x14ac:dyDescent="0.25">
      <c r="A32" s="7" t="s">
        <v>78</v>
      </c>
      <c r="B32" s="7" t="s">
        <v>79</v>
      </c>
      <c r="C32" s="8">
        <v>45356.43005787037</v>
      </c>
      <c r="D32" s="8">
        <v>45356.442465277774</v>
      </c>
      <c r="E32" s="9">
        <v>972854</v>
      </c>
      <c r="F32" s="7" t="str">
        <f t="array" ref="F32">LEFT(SUBSTITUTE(B32,A32,""),LEN(SUBSTITUTE(B32,A32,""))-1)</f>
        <v>C:\Users\Jerrison Chai\Documents\00 Shuei Company Documents\Monthly report to Director</v>
      </c>
      <c r="G32" s="10">
        <f t="shared" si="0"/>
        <v>1.2407407404680271E-2</v>
      </c>
      <c r="H32" s="7" t="str">
        <f t="shared" si="1"/>
        <v>pdf</v>
      </c>
      <c r="I32" s="7" t="str">
        <f t="shared" si="2"/>
        <v/>
      </c>
      <c r="L32" s="7" t="str">
        <f t="shared" si="3"/>
        <v>Monthly report to Director</v>
      </c>
      <c r="M32" s="10">
        <f t="shared" si="4"/>
        <v>1.2407407404680271E-2</v>
      </c>
      <c r="N32" s="7">
        <v>0</v>
      </c>
      <c r="O32" s="7" t="str">
        <f t="shared" si="5"/>
        <v>2024</v>
      </c>
      <c r="P32" s="7" t="str">
        <f t="shared" si="6"/>
        <v>1</v>
      </c>
      <c r="Q32" s="7" t="str">
        <f t="shared" si="7"/>
        <v>Mar</v>
      </c>
      <c r="R32" s="7" t="str">
        <f t="shared" si="8"/>
        <v>05</v>
      </c>
      <c r="S32" s="7" t="str">
        <f t="shared" si="9"/>
        <v>2024</v>
      </c>
      <c r="T32" s="7" t="str">
        <f t="shared" si="10"/>
        <v>1</v>
      </c>
      <c r="U32" s="7" t="str">
        <f t="shared" si="11"/>
        <v>Mar</v>
      </c>
      <c r="V32" s="7" t="str">
        <f t="shared" si="12"/>
        <v>05</v>
      </c>
    </row>
    <row r="33" spans="1:22" s="7" customFormat="1" x14ac:dyDescent="0.25">
      <c r="A33" s="7" t="s">
        <v>80</v>
      </c>
      <c r="B33" s="7" t="s">
        <v>81</v>
      </c>
      <c r="C33" s="8">
        <v>45351.399236111109</v>
      </c>
      <c r="D33" s="8">
        <v>45356.442303240743</v>
      </c>
      <c r="E33" s="9">
        <v>66839</v>
      </c>
      <c r="F33" s="7" t="str">
        <f t="array" ref="F33">LEFT(SUBSTITUTE(B33,A33,""),LEN(SUBSTITUTE(B33,A33,""))-1)</f>
        <v>C:\Users\Jerrison Chai\Documents\00 Shuei Company Documents\Monthly report to Director</v>
      </c>
      <c r="G33" s="10">
        <f t="shared" si="0"/>
        <v>5.0430671296344372</v>
      </c>
      <c r="H33" s="7" t="str">
        <f t="shared" si="1"/>
        <v>xlsx</v>
      </c>
      <c r="I33" s="7" t="str">
        <f t="shared" si="2"/>
        <v/>
      </c>
      <c r="L33" s="7" t="str">
        <f t="shared" si="3"/>
        <v>Monthly report to Director</v>
      </c>
      <c r="M33" s="10">
        <f t="shared" si="4"/>
        <v>5.0430671296344372</v>
      </c>
      <c r="N33" s="7">
        <v>0</v>
      </c>
      <c r="O33" s="7" t="str">
        <f t="shared" si="5"/>
        <v>2024</v>
      </c>
      <c r="P33" s="7" t="str">
        <f t="shared" si="6"/>
        <v>1</v>
      </c>
      <c r="Q33" s="7" t="str">
        <f t="shared" si="7"/>
        <v>Feb</v>
      </c>
      <c r="R33" s="7" t="str">
        <f t="shared" si="8"/>
        <v>29</v>
      </c>
      <c r="S33" s="7" t="str">
        <f t="shared" si="9"/>
        <v>2024</v>
      </c>
      <c r="T33" s="7" t="str">
        <f t="shared" si="10"/>
        <v>1</v>
      </c>
      <c r="U33" s="7" t="str">
        <f t="shared" si="11"/>
        <v>Mar</v>
      </c>
      <c r="V33" s="7" t="str">
        <f t="shared" si="12"/>
        <v>05</v>
      </c>
    </row>
    <row r="34" spans="1:22" s="7" customFormat="1" x14ac:dyDescent="0.25">
      <c r="A34" s="7" t="s">
        <v>82</v>
      </c>
      <c r="B34" s="7" t="s">
        <v>83</v>
      </c>
      <c r="C34" s="8">
        <v>45385.613912037035</v>
      </c>
      <c r="D34" s="8">
        <v>45385.616377314815</v>
      </c>
      <c r="E34" s="9">
        <v>748026</v>
      </c>
      <c r="F34" s="7" t="str">
        <f t="array" ref="F34">LEFT(SUBSTITUTE(B34,A34,""),LEN(SUBSTITUTE(B34,A34,""))-1)</f>
        <v>C:\Users\Jerrison Chai\Documents\00 Shuei Company Documents\Monthly report to Director</v>
      </c>
      <c r="G34" s="10">
        <f t="shared" si="0"/>
        <v>2.4652777792653069E-3</v>
      </c>
      <c r="H34" s="7" t="str">
        <f t="shared" si="1"/>
        <v>pdf</v>
      </c>
      <c r="I34" s="7" t="str">
        <f t="shared" si="2"/>
        <v/>
      </c>
      <c r="L34" s="7" t="str">
        <f t="shared" si="3"/>
        <v>Monthly report to Director</v>
      </c>
      <c r="M34" s="10">
        <f t="shared" si="4"/>
        <v>2.4652777792653069E-3</v>
      </c>
      <c r="N34" s="7">
        <v>0</v>
      </c>
      <c r="O34" s="7" t="str">
        <f t="shared" si="5"/>
        <v>2024</v>
      </c>
      <c r="P34" s="7" t="str">
        <f t="shared" si="6"/>
        <v>2</v>
      </c>
      <c r="Q34" s="7" t="str">
        <f t="shared" si="7"/>
        <v>Apr</v>
      </c>
      <c r="R34" s="7" t="str">
        <f t="shared" si="8"/>
        <v>03</v>
      </c>
      <c r="S34" s="7" t="str">
        <f t="shared" si="9"/>
        <v>2024</v>
      </c>
      <c r="T34" s="7" t="str">
        <f t="shared" si="10"/>
        <v>2</v>
      </c>
      <c r="U34" s="7" t="str">
        <f t="shared" si="11"/>
        <v>Apr</v>
      </c>
      <c r="V34" s="7" t="str">
        <f t="shared" si="12"/>
        <v>03</v>
      </c>
    </row>
    <row r="35" spans="1:22" x14ac:dyDescent="0.25">
      <c r="A35" s="7" t="s">
        <v>84</v>
      </c>
      <c r="H35" s="7" t="str">
        <f t="shared" si="1"/>
        <v>xlsm</v>
      </c>
      <c r="I35" s="7" t="str">
        <f t="shared" si="2"/>
        <v>Template</v>
      </c>
    </row>
  </sheetData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B0F27-D08D-4B14-826D-E94F7E087E04}">
  <sheetPr codeName="Sheet3"/>
  <dimension ref="A1:H37"/>
  <sheetViews>
    <sheetView workbookViewId="0">
      <pane ySplit="1" topLeftCell="A2" activePane="bottomLeft" state="frozen"/>
      <selection pane="bottomLeft" activeCell="B40" sqref="B40"/>
    </sheetView>
  </sheetViews>
  <sheetFormatPr defaultRowHeight="15" x14ac:dyDescent="0.25"/>
  <cols>
    <col min="1" max="3" width="23.28515625" customWidth="1"/>
    <col min="4" max="4" width="123.85546875" customWidth="1"/>
    <col min="5" max="5" width="38.140625" customWidth="1"/>
  </cols>
  <sheetData>
    <row r="1" spans="1:8" x14ac:dyDescent="0.25">
      <c r="A1" s="12" t="s">
        <v>85</v>
      </c>
      <c r="B1" s="12" t="s">
        <v>86</v>
      </c>
      <c r="C1" s="12" t="s">
        <v>87</v>
      </c>
      <c r="D1" s="12" t="s">
        <v>88</v>
      </c>
      <c r="E1" s="12" t="s">
        <v>89</v>
      </c>
      <c r="H1" t="s">
        <v>87</v>
      </c>
    </row>
    <row r="2" spans="1:8" hidden="1" x14ac:dyDescent="0.25">
      <c r="A2" s="12"/>
      <c r="B2" s="12"/>
      <c r="C2" s="12"/>
      <c r="D2" s="12"/>
      <c r="E2" s="12"/>
    </row>
    <row r="3" spans="1:8" hidden="1" x14ac:dyDescent="0.25">
      <c r="A3" s="12"/>
      <c r="B3" s="12"/>
      <c r="C3" s="12"/>
      <c r="D3" s="12"/>
      <c r="E3" s="12"/>
    </row>
    <row r="4" spans="1:8" hidden="1" x14ac:dyDescent="0.25">
      <c r="A4" s="12"/>
      <c r="B4" s="12"/>
      <c r="C4" s="12"/>
      <c r="D4" s="12"/>
      <c r="E4" s="12"/>
    </row>
    <row r="5" spans="1:8" hidden="1" x14ac:dyDescent="0.25">
      <c r="A5" s="12"/>
      <c r="B5" s="12"/>
      <c r="C5" s="12"/>
      <c r="D5" s="12"/>
      <c r="E5" s="12"/>
    </row>
    <row r="6" spans="1:8" hidden="1" x14ac:dyDescent="0.25">
      <c r="A6" s="12"/>
      <c r="B6" s="12"/>
      <c r="C6" s="12"/>
      <c r="D6" s="12"/>
      <c r="E6" s="12"/>
    </row>
    <row r="7" spans="1:8" hidden="1" x14ac:dyDescent="0.25">
      <c r="A7" s="12"/>
      <c r="B7" s="12"/>
      <c r="C7" s="12"/>
      <c r="D7" s="12"/>
      <c r="E7" s="12"/>
    </row>
    <row r="8" spans="1:8" hidden="1" x14ac:dyDescent="0.25">
      <c r="A8" s="12"/>
      <c r="B8" s="12"/>
      <c r="C8" s="12"/>
      <c r="D8" s="12"/>
      <c r="E8" s="12"/>
    </row>
    <row r="9" spans="1:8" hidden="1" x14ac:dyDescent="0.25">
      <c r="A9" s="12"/>
      <c r="B9" s="12"/>
      <c r="C9" s="12"/>
      <c r="D9" s="12"/>
      <c r="E9" s="12"/>
    </row>
    <row r="10" spans="1:8" hidden="1" x14ac:dyDescent="0.25">
      <c r="A10" s="12"/>
      <c r="B10" s="12"/>
      <c r="C10" s="12"/>
      <c r="D10" s="12"/>
      <c r="E10" s="12"/>
    </row>
    <row r="11" spans="1:8" hidden="1" x14ac:dyDescent="0.25">
      <c r="A11" s="12"/>
      <c r="B11" s="12"/>
      <c r="C11" s="12"/>
      <c r="D11" s="12"/>
      <c r="E11" s="12"/>
    </row>
    <row r="12" spans="1:8" hidden="1" x14ac:dyDescent="0.25">
      <c r="A12" s="12"/>
      <c r="B12" s="12"/>
      <c r="C12" s="12"/>
      <c r="D12" s="12"/>
      <c r="E12" s="12"/>
    </row>
    <row r="13" spans="1:8" hidden="1" x14ac:dyDescent="0.25">
      <c r="A13" s="12"/>
      <c r="B13" s="12"/>
      <c r="C13" s="12"/>
      <c r="D13" s="12"/>
      <c r="E13" s="12"/>
    </row>
    <row r="14" spans="1:8" hidden="1" x14ac:dyDescent="0.25">
      <c r="A14" s="12"/>
      <c r="B14" s="12"/>
      <c r="C14" s="12"/>
      <c r="D14" s="12"/>
      <c r="E14" s="12"/>
    </row>
    <row r="15" spans="1:8" hidden="1" x14ac:dyDescent="0.25">
      <c r="A15" s="12"/>
      <c r="B15" s="12"/>
      <c r="C15" s="12"/>
      <c r="D15" s="12"/>
      <c r="E15" s="12"/>
    </row>
    <row r="16" spans="1:8" hidden="1" x14ac:dyDescent="0.25">
      <c r="A16" s="12"/>
      <c r="B16" s="12"/>
      <c r="C16" s="12"/>
      <c r="D16" s="12"/>
      <c r="E16" s="12"/>
    </row>
    <row r="17" spans="1:6" hidden="1" x14ac:dyDescent="0.25">
      <c r="A17" s="12"/>
      <c r="B17" s="12"/>
      <c r="C17" s="12"/>
      <c r="D17" s="12"/>
      <c r="E17" s="12"/>
    </row>
    <row r="18" spans="1:6" hidden="1" x14ac:dyDescent="0.25">
      <c r="A18" s="12"/>
      <c r="B18" s="12"/>
      <c r="C18" s="12"/>
      <c r="D18" s="12"/>
      <c r="E18" s="12"/>
    </row>
    <row r="19" spans="1:6" hidden="1" x14ac:dyDescent="0.25">
      <c r="A19" s="12"/>
      <c r="B19" s="12"/>
      <c r="C19" s="12"/>
      <c r="D19" s="12"/>
      <c r="E19" s="12"/>
    </row>
    <row r="20" spans="1:6" x14ac:dyDescent="0.25">
      <c r="A20" t="s">
        <v>90</v>
      </c>
      <c r="B20" s="13">
        <v>45293.576203703706</v>
      </c>
      <c r="C20" t="s">
        <v>91</v>
      </c>
      <c r="D20" t="s">
        <v>92</v>
      </c>
    </row>
    <row r="21" spans="1:6" x14ac:dyDescent="0.25">
      <c r="A21" t="s">
        <v>90</v>
      </c>
      <c r="B21" s="13">
        <v>45419.643495370372</v>
      </c>
      <c r="C21" t="s">
        <v>91</v>
      </c>
      <c r="D21" t="s">
        <v>92</v>
      </c>
    </row>
    <row r="22" spans="1:6" x14ac:dyDescent="0.25">
      <c r="A22" t="e">
        <v>#REF!</v>
      </c>
      <c r="B22" s="13">
        <v>45646.392199074071</v>
      </c>
      <c r="C22" t="s">
        <v>91</v>
      </c>
      <c r="D22" t="s">
        <v>93</v>
      </c>
      <c r="E22" t="s">
        <v>94</v>
      </c>
    </row>
    <row r="23" spans="1:6" x14ac:dyDescent="0.25">
      <c r="A23" t="e">
        <v>#REF!</v>
      </c>
      <c r="B23" s="13">
        <v>45646.392199074071</v>
      </c>
      <c r="C23" t="s">
        <v>91</v>
      </c>
      <c r="D23" t="s">
        <v>95</v>
      </c>
      <c r="E23" t="s">
        <v>94</v>
      </c>
      <c r="F23" t="s">
        <v>87</v>
      </c>
    </row>
    <row r="24" spans="1:6" x14ac:dyDescent="0.25">
      <c r="A24" t="s">
        <v>96</v>
      </c>
      <c r="B24" s="13">
        <v>45646.39271990741</v>
      </c>
      <c r="C24" t="s">
        <v>91</v>
      </c>
      <c r="D24" t="s">
        <v>93</v>
      </c>
      <c r="E24" t="s">
        <v>94</v>
      </c>
    </row>
    <row r="25" spans="1:6" x14ac:dyDescent="0.25">
      <c r="A25" t="s">
        <v>97</v>
      </c>
      <c r="B25" s="13">
        <v>45646.392743055556</v>
      </c>
      <c r="C25" t="s">
        <v>91</v>
      </c>
      <c r="D25" t="s">
        <v>93</v>
      </c>
      <c r="E25" t="s">
        <v>94</v>
      </c>
    </row>
    <row r="26" spans="1:6" x14ac:dyDescent="0.25">
      <c r="A26" t="e">
        <v>#REF!</v>
      </c>
      <c r="B26" s="13">
        <v>45925.495879629627</v>
      </c>
      <c r="C26" t="s">
        <v>91</v>
      </c>
      <c r="D26" t="s">
        <v>93</v>
      </c>
      <c r="E26" t="s">
        <v>94</v>
      </c>
    </row>
    <row r="27" spans="1:6" x14ac:dyDescent="0.25">
      <c r="A27" t="e">
        <v>#REF!</v>
      </c>
      <c r="B27" s="13">
        <v>45925.495879629627</v>
      </c>
      <c r="C27" t="s">
        <v>91</v>
      </c>
      <c r="D27" t="s">
        <v>95</v>
      </c>
      <c r="E27" t="s">
        <v>94</v>
      </c>
      <c r="F27" t="s">
        <v>87</v>
      </c>
    </row>
    <row r="28" spans="1:6" x14ac:dyDescent="0.25">
      <c r="B28" s="13"/>
    </row>
    <row r="29" spans="1:6" x14ac:dyDescent="0.25">
      <c r="B29" s="13"/>
    </row>
    <row r="30" spans="1:6" x14ac:dyDescent="0.25">
      <c r="B30" s="13"/>
    </row>
    <row r="31" spans="1:6" x14ac:dyDescent="0.25">
      <c r="B31" s="13"/>
    </row>
    <row r="32" spans="1:6" x14ac:dyDescent="0.25">
      <c r="B32" s="13"/>
    </row>
    <row r="33" spans="2:2" x14ac:dyDescent="0.25">
      <c r="B33" s="13"/>
    </row>
    <row r="34" spans="2:2" x14ac:dyDescent="0.25">
      <c r="B34" s="13"/>
    </row>
    <row r="35" spans="2:2" x14ac:dyDescent="0.25">
      <c r="B35" s="13"/>
    </row>
    <row r="36" spans="2:2" x14ac:dyDescent="0.25">
      <c r="B36" s="13"/>
    </row>
    <row r="37" spans="2:2" x14ac:dyDescent="0.25">
      <c r="B37" s="13"/>
    </row>
  </sheetData>
  <sheetProtection algorithmName="SHA-512" hashValue="9kLpuQq0AbTnCtITw2DvknDI+SZMz8TfM7ITajtk00VpERdBJhmu/3Sz2Jpf3K8aIPOpUhtCmP0/JLRjg/UwsA==" saltValue="RpO/c3VeffAlCKHelbw7hA==" spinCount="100000" sheet="1" objects="1" scenarios="1"/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Data</vt:lpstr>
      <vt:lpstr>LOG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JerrisonSignature</dc:creator>
  <dc:description>Template produced by Jerrison | Repo: VBA-Utility-Library/vba-file-folder-utils | v2025-08-20 | SignedOn=2025-08-20 10:06 | GUID=RND-20250820100612-178845</dc:description>
  <cp:lastModifiedBy>Jerrison Chai</cp:lastModifiedBy>
  <dcterms:created xsi:type="dcterms:W3CDTF">2024-11-26T09:36:30Z</dcterms:created>
  <dcterms:modified xsi:type="dcterms:W3CDTF">2025-09-25T03:55:12Z</dcterms:modified>
</cp:coreProperties>
</file>