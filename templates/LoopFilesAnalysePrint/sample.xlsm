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errison Chai\Documents\09 Github\GH02 Repositories\vba-utility\vba-automation-suite\LoopAnalysePrint\"/>
    </mc:Choice>
  </mc:AlternateContent>
  <xr:revisionPtr revIDLastSave="0" documentId="13_ncr:1_{DC8EC10B-5654-46B9-89B3-C04E6E84768E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Dashboard" sheetId="5" r:id="rId1"/>
    <sheet name="RawData" sheetId="2" r:id="rId2"/>
    <sheet name="Print" sheetId="1" r:id="rId3"/>
    <sheet name="LOG" sheetId="6" r:id="rId4"/>
  </sheets>
  <functionGroups builtInGroupCount="19"/>
  <definedNames>
    <definedName name="_JERR" hidden="1">"Template produced by Jerrison"</definedName>
    <definedName name="Current_Period" localSheetId="3">Dashboard!$C$12</definedName>
    <definedName name="Current_Period">Dashboard!$C$12</definedName>
    <definedName name="Date">Dashboard!$C$8</definedName>
    <definedName name="Folder_Location">Dashboard!$C$22</definedName>
    <definedName name="Folder_Navigation">Dashboard!$C$20</definedName>
    <definedName name="Last_Execution_Status">Dashboard!$C$25</definedName>
    <definedName name="Start_Time">Dashboard!$C$27</definedName>
    <definedName name="Status">Dashboard!$C$26</definedName>
    <definedName name="Subject">Dashboard!$C$10</definedName>
    <definedName name="Time_Taken">Dashboard!$C$28</definedName>
    <definedName name="UserName">Dashboard!$C$29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5" i="1" l="1"/>
  <c r="B26" i="1"/>
  <c r="B27" i="1"/>
  <c r="B28" i="1"/>
  <c r="B24" i="1"/>
  <c r="B21" i="1"/>
  <c r="B20" i="1"/>
  <c r="B19" i="1"/>
  <c r="B18" i="1"/>
  <c r="B17" i="1"/>
  <c r="B7" i="1"/>
  <c r="B8" i="1"/>
  <c r="B9" i="1"/>
  <c r="B10" i="1"/>
  <c r="B11" i="1"/>
  <c r="B12" i="1"/>
  <c r="B13" i="1"/>
  <c r="B14" i="1"/>
  <c r="B6" i="1"/>
  <c r="B3" i="1"/>
  <c r="C8" i="5" l="1"/>
</calcChain>
</file>

<file path=xl/sharedStrings.xml><?xml version="1.0" encoding="utf-8"?>
<sst xmlns="http://schemas.openxmlformats.org/spreadsheetml/2006/main" count="7388" uniqueCount="583">
  <si>
    <t>Button</t>
  </si>
  <si>
    <t>Time</t>
  </si>
  <si>
    <t>User</t>
  </si>
  <si>
    <t>Remark</t>
  </si>
  <si>
    <t>VBA Automation</t>
  </si>
  <si>
    <t>Parameters</t>
  </si>
  <si>
    <t>Date</t>
  </si>
  <si>
    <t>Save as File name</t>
  </si>
  <si>
    <t>Period</t>
  </si>
  <si>
    <t>Country</t>
  </si>
  <si>
    <t>MY</t>
  </si>
  <si>
    <t>Last Execution Status</t>
  </si>
  <si>
    <t>Status</t>
  </si>
  <si>
    <t>Success</t>
  </si>
  <si>
    <t>Start Time</t>
  </si>
  <si>
    <t>Time Taken</t>
  </si>
  <si>
    <t>UserName</t>
  </si>
  <si>
    <t>Jerrison Chai</t>
  </si>
  <si>
    <t>Total Selling Amount (FC)</t>
  </si>
  <si>
    <t>Action Taken</t>
  </si>
  <si>
    <t>Reset Template</t>
  </si>
  <si>
    <t>Start Run</t>
  </si>
  <si>
    <t>CellChanges</t>
  </si>
  <si>
    <t>Admin</t>
  </si>
  <si>
    <t>Run Macro Started</t>
  </si>
  <si>
    <t>Run Macro Ended</t>
  </si>
  <si>
    <t>Version 1.00 - 4/2/2025</t>
  </si>
  <si>
    <t>Loop-Analyse and PrintALL</t>
  </si>
  <si>
    <t>Loopfiles-Analyse-Print v1.00T.xlsm</t>
  </si>
  <si>
    <t>Folder to Loop Files</t>
  </si>
  <si>
    <t>Folder location</t>
  </si>
  <si>
    <t>$C$16 changed from [] to [C:\Users\Jerrison Chai\Documents\02 DEMO\MrExcel\temp]</t>
  </si>
  <si>
    <t>C:\Users\Jerrison Chai\Documents\02 DEMO\TempRawData</t>
  </si>
  <si>
    <t>$C$16 changed from [C:\Users\Jerrison Chai\Documents\02 DEMO\MrExcel\temp] to [C:\Users\Jerrison Chai\Documents\02 DEMO\TempRawData]</t>
  </si>
  <si>
    <t>#</t>
  </si>
  <si>
    <t>Whse</t>
  </si>
  <si>
    <t>Type</t>
  </si>
  <si>
    <t>Cancel</t>
  </si>
  <si>
    <t>DocNum</t>
  </si>
  <si>
    <t>DocEntry</t>
  </si>
  <si>
    <t>DocDate</t>
  </si>
  <si>
    <t>Posting Date</t>
  </si>
  <si>
    <t>Customer Ref.No</t>
  </si>
  <si>
    <t>Customer Code</t>
  </si>
  <si>
    <t>Customer Name</t>
  </si>
  <si>
    <t>Market</t>
  </si>
  <si>
    <t>Department</t>
  </si>
  <si>
    <t>ItemCode</t>
  </si>
  <si>
    <t>Item Description</t>
  </si>
  <si>
    <t>Item Group</t>
  </si>
  <si>
    <t>AcctCode</t>
  </si>
  <si>
    <t>G/L Account Name</t>
  </si>
  <si>
    <t>CogsAcct</t>
  </si>
  <si>
    <t>COGS Account Name</t>
  </si>
  <si>
    <t>Item Quantity</t>
  </si>
  <si>
    <t>Currency</t>
  </si>
  <si>
    <t>Unit Selling Price (FC)</t>
  </si>
  <si>
    <t>Ex-rate</t>
  </si>
  <si>
    <t>Unit Selling Price (HKD)</t>
  </si>
  <si>
    <t>Total Selling Amount (HKD)</t>
  </si>
  <si>
    <t>Item Unit Cost (HKD)</t>
  </si>
  <si>
    <t>Item Total Unit Cost (HKD)</t>
  </si>
  <si>
    <t>Item Unit GP (HKD)</t>
  </si>
  <si>
    <t>Item Total GP Before Discount (HKD)</t>
  </si>
  <si>
    <t>GP% Before Discount Allocation</t>
  </si>
  <si>
    <t>Total Discount</t>
  </si>
  <si>
    <t>Total Amount (aft D)</t>
  </si>
  <si>
    <t>Discount Allocation</t>
  </si>
  <si>
    <t>Item Unit GP After Discount Allocation (HKD)</t>
  </si>
  <si>
    <t>Item Total GP After Discount (HKD)</t>
  </si>
  <si>
    <t>GP% After Discount Allocation</t>
  </si>
  <si>
    <t>CDNHK</t>
  </si>
  <si>
    <t>IN</t>
  </si>
  <si>
    <t>O</t>
  </si>
  <si>
    <t>N</t>
  </si>
  <si>
    <t>02.12.2024</t>
  </si>
  <si>
    <t>2024-12</t>
  </si>
  <si>
    <t>GMPD</t>
  </si>
  <si>
    <t>NAV_FEE</t>
  </si>
  <si>
    <t>NON ITEM</t>
  </si>
  <si>
    <t>Sales - Marketplace (Shipping Fee Income)</t>
  </si>
  <si>
    <t>COGS - Marketplace (Product)</t>
  </si>
  <si>
    <t>SKX0300153-000-00</t>
  </si>
  <si>
    <t>[Mini] Facial Treatment Gentle Cleanser</t>
  </si>
  <si>
    <t>SKIN CARE</t>
  </si>
  <si>
    <t>Sales - Marketplace (Product)</t>
  </si>
  <si>
    <t>03.12.2024</t>
  </si>
  <si>
    <t>MENS CARE</t>
  </si>
  <si>
    <t>04.12.2024</t>
  </si>
  <si>
    <t>SKX0300075-000-00</t>
  </si>
  <si>
    <t>[Mini] Facial Treatment Essence</t>
  </si>
  <si>
    <t>06.12.2024</t>
  </si>
  <si>
    <t>09.12.2024</t>
  </si>
  <si>
    <t>Facial Treatment Essence</t>
  </si>
  <si>
    <t>NAA0400179-000-00</t>
  </si>
  <si>
    <t>Miniature Bath &amp; Shower Oil Collection</t>
  </si>
  <si>
    <t>GIFT SETS</t>
  </si>
  <si>
    <t>11.12.2024</t>
  </si>
  <si>
    <t>SKX0100281-000-00</t>
  </si>
  <si>
    <t>Facial Treatment Clear Lotion</t>
  </si>
  <si>
    <t>12.12.2024</t>
  </si>
  <si>
    <t>13.12.2024</t>
  </si>
  <si>
    <t>16.12.2024</t>
  </si>
  <si>
    <t>LOX0100048-000-00</t>
  </si>
  <si>
    <t>Foot Cream (for dry or damaged skin) 15% Shea Butter</t>
  </si>
  <si>
    <t>PERSONAL</t>
  </si>
  <si>
    <t>18.12.2024</t>
  </si>
  <si>
    <t>SKX0300240-000-00</t>
  </si>
  <si>
    <t>[MINI] Facial Treatment Clear Lotion</t>
  </si>
  <si>
    <t>23.12.2024</t>
  </si>
  <si>
    <t>SKX0100148-000-00</t>
  </si>
  <si>
    <t>Facial Treatment Gentle Cleanser</t>
  </si>
  <si>
    <t>[MINI] Facial Treatment Gentle Cleanser</t>
  </si>
  <si>
    <t>27.12.2024</t>
  </si>
  <si>
    <t>CR</t>
  </si>
  <si>
    <t>LOX0100007-000-00</t>
  </si>
  <si>
    <t>Amande - Cleansing and Softening Shower Oil (with Almond Oil)</t>
  </si>
  <si>
    <t>Sales Return - Marketplace (Product)</t>
  </si>
  <si>
    <t>LOX0100892-000-00</t>
  </si>
  <si>
    <t>Almond Milk Veil</t>
  </si>
  <si>
    <t>Total Selling Amount</t>
  </si>
  <si>
    <t>Total Selling Amount by GL account name</t>
  </si>
  <si>
    <t>Total Selling Amount by Top5 Country</t>
  </si>
  <si>
    <t>HKD</t>
  </si>
  <si>
    <t>Sales - B to C (Product)</t>
  </si>
  <si>
    <t>Sales - B to C (Shipping Fee Income)</t>
  </si>
  <si>
    <t>Discount - B to C (Product)</t>
  </si>
  <si>
    <t>Output VAT/GST</t>
  </si>
  <si>
    <t>Sales Return - B to C (Product)</t>
  </si>
  <si>
    <t>Discount - Marketplace (Product)</t>
  </si>
  <si>
    <t>SG</t>
  </si>
  <si>
    <t>PH</t>
  </si>
  <si>
    <t>HK</t>
  </si>
  <si>
    <t>TH</t>
  </si>
  <si>
    <t>Total Selling Amount by Top5 Item Group</t>
  </si>
  <si>
    <t>SLIMMING</t>
  </si>
  <si>
    <t>MAKE UP</t>
  </si>
  <si>
    <t>SUN CARE</t>
  </si>
  <si>
    <t>SAP Zalora Sales Report for Dec 24.xlsx</t>
  </si>
  <si>
    <t>$C$10 changed from [SAP eBay Sales Report (Dec 24).xlsx] to [SAP eBay Sales Report (Dec 24).xlsx]</t>
  </si>
  <si>
    <t>$C$10 changed from [SAP Lazada Sales Report for Dec 24 (CDN + FBL).xlsx] to [SAP Lazada Sales Report for Dec 24 (CDN + FBL).xlsx]</t>
  </si>
  <si>
    <t>$C$10 changed from [SAP Shopee Sales Report for Dec 24.xlsx] to [SAP Shopee Sales Report for Dec 24.xlsx]</t>
  </si>
  <si>
    <t>$C$10 changed from [SAP Zalora Sales Report for Dec 24.xlsx] to [SAP Zalora Sales Report for Dec 24.xlsx]</t>
  </si>
  <si>
    <t>DISCOUNT</t>
  </si>
  <si>
    <t>PHP</t>
  </si>
  <si>
    <t>CLX0100792-000-00</t>
  </si>
  <si>
    <t>Masvelt Advanced Body Shaping Cream</t>
  </si>
  <si>
    <t>SGD</t>
  </si>
  <si>
    <t>NXX0100055-000-00</t>
  </si>
  <si>
    <t>HUILE PRODIGIEUSE</t>
  </si>
  <si>
    <t>NXX0100248-000-00</t>
  </si>
  <si>
    <t>Huile Prodigieuse Florale Multi-Purpose Dry Oil (All Skin Types)</t>
  </si>
  <si>
    <t>MYR</t>
  </si>
  <si>
    <t>LOX0100058-000-00</t>
  </si>
  <si>
    <t>Hand Cream (for dry skin or damaged skin) 20% Shea Butter</t>
  </si>
  <si>
    <t>LOX0101159-000-00</t>
  </si>
  <si>
    <t>Amande Shower Oil (Refill)</t>
  </si>
  <si>
    <t>LOX0100474-000-00</t>
  </si>
  <si>
    <t>Verveine Shower Gel</t>
  </si>
  <si>
    <t>LOX0100523-000-00</t>
  </si>
  <si>
    <t>Fleurs De Cerisier Cherry Blossom Mousse Douceur Bath &amp; Shower Gel</t>
  </si>
  <si>
    <t>ELX0100679-000-00</t>
  </si>
  <si>
    <t>DayWear Advanced Multi-Protection Anti-Oxidant Creme SPF15 (Normal/Combination Skin)</t>
  </si>
  <si>
    <t>LOX0101032-000-00</t>
  </si>
  <si>
    <t>Cap Cedrat Shower Gel Body &amp; Hair</t>
  </si>
  <si>
    <t>Rose Hand Cream</t>
  </si>
  <si>
    <t>LOX0100343-000-00</t>
  </si>
  <si>
    <t>Lavender Hand Cream</t>
  </si>
  <si>
    <t>CQX0100798-000-00</t>
  </si>
  <si>
    <t>Moisture Surge 100H Auto-Replenishing Hydrator (All Skin Types) (Travel Exclusive)</t>
  </si>
  <si>
    <t>LAB0100073-000-00</t>
  </si>
  <si>
    <t>All-In-One Multi-Action Face Wash</t>
  </si>
  <si>
    <t>CLX0100692-000-00</t>
  </si>
  <si>
    <t>Hydrating Toning Lotion (Normal To Dry Skin)</t>
  </si>
  <si>
    <t>CLX0100694-000-00</t>
  </si>
  <si>
    <t>Purifying Toning Lotion (Combination To Oily Skin)</t>
  </si>
  <si>
    <t>CLX0100695-000-00</t>
  </si>
  <si>
    <t>Velvet Cleansing Milk</t>
  </si>
  <si>
    <t>CLX0100652-000-00</t>
  </si>
  <si>
    <t>Body Partner Stretch Mark Expert</t>
  </si>
  <si>
    <t>CLX0100014-000-00</t>
  </si>
  <si>
    <t>Body Treatment Oil Tonic</t>
  </si>
  <si>
    <t>CQX0100280-000-00</t>
  </si>
  <si>
    <t>Anti-Blemish Solutions Cleansing Foam (all skin types)</t>
  </si>
  <si>
    <t>KLX0100219-000-00</t>
  </si>
  <si>
    <t>Ultra Light Daily UV Defense SPF50 PA++++</t>
  </si>
  <si>
    <t>05.12.2024</t>
  </si>
  <si>
    <t>LOX0100920-000-00</t>
  </si>
  <si>
    <t>Amande - Smoothing And Beautifying Supple Skin Oil</t>
  </si>
  <si>
    <t>JQX0100215-000-00</t>
  </si>
  <si>
    <t>Revitalising Cleansing Gel</t>
  </si>
  <si>
    <t>LOX0101178-000-00</t>
  </si>
  <si>
    <t>Almond Shower Oil</t>
  </si>
  <si>
    <t>CQX0100007-000-00</t>
  </si>
  <si>
    <t>All About Eyes (All skin types)</t>
  </si>
  <si>
    <t>NXX0100054-000-00</t>
  </si>
  <si>
    <t>CLX0100667-000-00</t>
  </si>
  <si>
    <t>Total Eye Lift Lift-Replenishing Total Eye Concentrate</t>
  </si>
  <si>
    <t>ELX0300929-000-00</t>
  </si>
  <si>
    <t>[MINI] Advanced Night Repair Synchronized Multi-Recovery Complex</t>
  </si>
  <si>
    <t>VEX0100198-000-00</t>
  </si>
  <si>
    <t>Cicalfate+ Repairing Protective Cream (For Sensitive Irritated Skin)</t>
  </si>
  <si>
    <t>BABY&amp;MOM</t>
  </si>
  <si>
    <t>10.12.2024</t>
  </si>
  <si>
    <t>CLX0100012-000-00</t>
  </si>
  <si>
    <t>Body Treatment Oil Anti-Eau</t>
  </si>
  <si>
    <t>AES0100090-000-00</t>
  </si>
  <si>
    <t>Geranium Leaf Body Scrub</t>
  </si>
  <si>
    <t>CLX0100793-000-00</t>
  </si>
  <si>
    <t>Double Serum [Hydric+Lipidic System] Complete Age Control Concentrate (Light Texture)</t>
  </si>
  <si>
    <t>LRX0100206-000-00</t>
  </si>
  <si>
    <t>Cicaplast Baume B5 SPF50</t>
  </si>
  <si>
    <t>AES0100012-000-00</t>
  </si>
  <si>
    <t>Resurrection Aromatique Hand Balm</t>
  </si>
  <si>
    <t>LOX0101172-000-00</t>
  </si>
  <si>
    <t>Immortelle Divine Youth Cream</t>
  </si>
  <si>
    <t>AES0100034-000-00</t>
  </si>
  <si>
    <t>Resurrection Aromatique Hand Wash (With Pump)</t>
  </si>
  <si>
    <t>CUX0100029-000-00</t>
  </si>
  <si>
    <t>Eau de Beaute</t>
  </si>
  <si>
    <t>CLX0100087-000-00</t>
  </si>
  <si>
    <t>Smoothing Body Scrub for a New Skin</t>
  </si>
  <si>
    <t>KLX0100141-000-00</t>
  </si>
  <si>
    <t>Midnight Recovery Concentrate</t>
  </si>
  <si>
    <t>CLX0100632-000-00</t>
  </si>
  <si>
    <t>V Shaping Facial Lift Curvy V Face Contouring Serum</t>
  </si>
  <si>
    <t>CLX0100426-000-00</t>
  </si>
  <si>
    <t>Super Restorative Decollete and Neck Concentrate</t>
  </si>
  <si>
    <t>17.12.2024</t>
  </si>
  <si>
    <t>LRX0100124-000-00</t>
  </si>
  <si>
    <t>Effaclar Mat Hydratant Sebo-Regulateur</t>
  </si>
  <si>
    <t>LOX0100057-000-00</t>
  </si>
  <si>
    <t>Hand Cream</t>
  </si>
  <si>
    <t>LOX0100524-000-00</t>
  </si>
  <si>
    <t>Fleurs De Cerisier Lait Perle Shimmering Lotion</t>
  </si>
  <si>
    <t>LRX0100164-000-00</t>
  </si>
  <si>
    <t>Cicaplast Baume B5+ Ultra-Repairing Soothing Balm</t>
  </si>
  <si>
    <t>CLX0100691-000-00</t>
  </si>
  <si>
    <t>19.12.2024</t>
  </si>
  <si>
    <t>CLX0100601-000-00</t>
  </si>
  <si>
    <t>Bust Beauty Extra-Lift Gel Shapes &amp; Tightens</t>
  </si>
  <si>
    <t>20.12.2024</t>
  </si>
  <si>
    <t>JOX0100133-000-00</t>
  </si>
  <si>
    <t>Daily Nourishing Shampoo with Lavender &amp; Rosemary</t>
  </si>
  <si>
    <t>24.12.2024</t>
  </si>
  <si>
    <t>CQX0100682-000-00</t>
  </si>
  <si>
    <t>Moisture Surge Hydrating Supercharged Concentrate (All Skin Types)</t>
  </si>
  <si>
    <t>LRX0100233-000-00</t>
  </si>
  <si>
    <t>Cicaplast Baume B5+</t>
  </si>
  <si>
    <t>CQX0100017-000-00</t>
  </si>
  <si>
    <t>Antiperspirant-deodorant roll on</t>
  </si>
  <si>
    <t>Advanced Night Repair Synchronized Multi-Recovery Complex</t>
  </si>
  <si>
    <t>CQX0100800-000-00</t>
  </si>
  <si>
    <t>Smart Clinical Repair Wrinkle Correcting Eye Cream</t>
  </si>
  <si>
    <t>LOX0101103-000-00</t>
  </si>
  <si>
    <t>Shea Ultra Rich Body Cream - Dry and Sensitive Skin (Refill)</t>
  </si>
  <si>
    <t>MEL0100145-000-00</t>
  </si>
  <si>
    <t>L'or Bio Extraordinary Oil (body, face, Hair)</t>
  </si>
  <si>
    <t>CLX0100561-000-00</t>
  </si>
  <si>
    <t>(Old) Double Serum [Hydric+Lipidic System] Complete Age Control Concentrate</t>
  </si>
  <si>
    <t>WDX0100267-000-00</t>
  </si>
  <si>
    <t>Huile Capillaire Nourrissante</t>
  </si>
  <si>
    <t>MEL0100209-000-00</t>
  </si>
  <si>
    <t>Huile De Noyaux d'Abricot Apricot Kernel Oil</t>
  </si>
  <si>
    <t>LOX0100142-000-00</t>
  </si>
  <si>
    <t>Shea Butter Ultra Rich Body Cream</t>
  </si>
  <si>
    <t>LOX0101105-000-00</t>
  </si>
  <si>
    <t>Immortelle Precious Proactive Youth Skincare Enriched Emulsion</t>
  </si>
  <si>
    <t>LOX0101072-000-00</t>
  </si>
  <si>
    <t>Volume &amp; Strength Shampoo</t>
  </si>
  <si>
    <t>LOX0101073-000-00</t>
  </si>
  <si>
    <t>Immortelle Reset Overnight Reset Oil-In-Serum (Soothed &amp; revitalized Skin)</t>
  </si>
  <si>
    <t>ORX0100162-000-00</t>
  </si>
  <si>
    <t>B21 Extraordinaire Absolute Youth Cream</t>
  </si>
  <si>
    <t>CLX0100455-000-00</t>
  </si>
  <si>
    <t>Fix' Make-Up</t>
  </si>
  <si>
    <t>AES0100013-000-00</t>
  </si>
  <si>
    <t>Geranium Leaf Body Cleanser</t>
  </si>
  <si>
    <t>VAX0100222-000-00</t>
  </si>
  <si>
    <t>Prime Renewing Pack</t>
  </si>
  <si>
    <t>JOX0100132-000-00</t>
  </si>
  <si>
    <t>Conditioner For Normal Hair With Citrus &amp; Neroli</t>
  </si>
  <si>
    <t>AES0100065-000-00</t>
  </si>
  <si>
    <t>Reverence Aromatique Hand Balm</t>
  </si>
  <si>
    <t>GMP69241129000752</t>
  </si>
  <si>
    <t>Zalora (AR)</t>
  </si>
  <si>
    <t>Zalora</t>
  </si>
  <si>
    <t>GMP69241201000489</t>
  </si>
  <si>
    <t>LAB0100102-000-00</t>
  </si>
  <si>
    <t>Daily Rescue Energising Face Lotion</t>
  </si>
  <si>
    <t>GMP67241201000528</t>
  </si>
  <si>
    <t>[Mini] Facial Treatment Clear Lotion</t>
  </si>
  <si>
    <t>GMP67241201000498</t>
  </si>
  <si>
    <t>GMP65241201000049</t>
  </si>
  <si>
    <t>GMP65241130000479</t>
  </si>
  <si>
    <t>GMP65241201000179</t>
  </si>
  <si>
    <t>SKX0100286-000-00</t>
  </si>
  <si>
    <t>Genoptics Spot Essence</t>
  </si>
  <si>
    <t>GMP62241201000158</t>
  </si>
  <si>
    <t>GMP65241202000024</t>
  </si>
  <si>
    <t>GMP69241130000031</t>
  </si>
  <si>
    <t>GMP65241129000435</t>
  </si>
  <si>
    <t>GMP69241202000068</t>
  </si>
  <si>
    <t>LOX0101168-000-00</t>
  </si>
  <si>
    <t>White Lavender Body Lotion</t>
  </si>
  <si>
    <t>GMP65241201000247</t>
  </si>
  <si>
    <t>ELX0100930-000-00</t>
  </si>
  <si>
    <t>GMP65241202000086</t>
  </si>
  <si>
    <t>GMP67241130000385</t>
  </si>
  <si>
    <t>GMP65241130000097</t>
  </si>
  <si>
    <t>WDX0100361-000-00</t>
  </si>
  <si>
    <t>Arnica Massage Oil With Pump (Arnica Huile De Massage)</t>
  </si>
  <si>
    <t>GMP65241129000664</t>
  </si>
  <si>
    <t>GMP67241130000330</t>
  </si>
  <si>
    <t>CQX0100731-001-00</t>
  </si>
  <si>
    <t>Lash Power Mascara</t>
  </si>
  <si>
    <t>GMP69241201000069</t>
  </si>
  <si>
    <t>JOX0100158-000-00</t>
  </si>
  <si>
    <t>Leave-In Conditioning Mist With Green Tea &amp; Calendula</t>
  </si>
  <si>
    <t>GMP67241130000231</t>
  </si>
  <si>
    <t>GMP65241201000407</t>
  </si>
  <si>
    <t>GMP65241129000718</t>
  </si>
  <si>
    <t>LRX0100239-000-00</t>
  </si>
  <si>
    <t>Toleriane Dermallergo Cream</t>
  </si>
  <si>
    <t>GMP65241130000288</t>
  </si>
  <si>
    <t>SKX0100204-000-00</t>
  </si>
  <si>
    <t>Stempower Rich Cream</t>
  </si>
  <si>
    <t>GMP65241129000466</t>
  </si>
  <si>
    <t>GMP67241201000030</t>
  </si>
  <si>
    <t>CLX0100560-000-00</t>
  </si>
  <si>
    <t>GMP62241130000397</t>
  </si>
  <si>
    <t>KLX0100043-000-00</t>
  </si>
  <si>
    <t>Ultra Facial Cream</t>
  </si>
  <si>
    <t>GMP65241129000763</t>
  </si>
  <si>
    <t>CQX0100790-000-00</t>
  </si>
  <si>
    <t>Moisture Surge 100H Auto-Replenishing Hydrator (All Skin Types)</t>
  </si>
  <si>
    <t>GMP62241129000414</t>
  </si>
  <si>
    <t>GMP69241201000144</t>
  </si>
  <si>
    <t>LOX0101024-000-00</t>
  </si>
  <si>
    <t>Verbena Hands &amp; Body Liquid Soap</t>
  </si>
  <si>
    <t>GMP67241201000375</t>
  </si>
  <si>
    <t>GMP65241202000284</t>
  </si>
  <si>
    <t>GMP69241202000167</t>
  </si>
  <si>
    <t>GMP65241203000047</t>
  </si>
  <si>
    <t>GMP65241203000122</t>
  </si>
  <si>
    <t>GMP69241202000327</t>
  </si>
  <si>
    <t>SKX0100341-000-00</t>
  </si>
  <si>
    <t>Skinpower Eye Cream</t>
  </si>
  <si>
    <t>GMP67241202000381</t>
  </si>
  <si>
    <t>GMP65241203000030</t>
  </si>
  <si>
    <t>GMP65241202000178</t>
  </si>
  <si>
    <t>GMP69241204000103</t>
  </si>
  <si>
    <t>JQX0100298-000-00</t>
  </si>
  <si>
    <t>GMP67241203000137</t>
  </si>
  <si>
    <t>LRX0100032-000-00</t>
  </si>
  <si>
    <t>Toleriane Dermo-Nettoyant</t>
  </si>
  <si>
    <t>GMP67241203000373</t>
  </si>
  <si>
    <t>GMP62241203000194</t>
  </si>
  <si>
    <t>GMP65241204000008</t>
  </si>
  <si>
    <t>GMP69241204000110</t>
  </si>
  <si>
    <t>GMP69241203000302</t>
  </si>
  <si>
    <t>NAA0100182-000-00</t>
  </si>
  <si>
    <t>Relax Massage &amp; Body Oil</t>
  </si>
  <si>
    <t>GMP65241203000252</t>
  </si>
  <si>
    <t>GMP67241203000144</t>
  </si>
  <si>
    <t>SKX0500110-000-00</t>
  </si>
  <si>
    <t>GMP67241204000150</t>
  </si>
  <si>
    <t>LOX0101198-000-00</t>
  </si>
  <si>
    <t>Shea Butter Hand Cream</t>
  </si>
  <si>
    <t>GMP69241205000225</t>
  </si>
  <si>
    <t>JQX0100280-000-00</t>
  </si>
  <si>
    <t>Citrus Body Lotion</t>
  </si>
  <si>
    <t>JQX0100300-000-00</t>
  </si>
  <si>
    <t>Lavender Body Lotion</t>
  </si>
  <si>
    <t>GMP67241205000074</t>
  </si>
  <si>
    <t>GMP65241204000183</t>
  </si>
  <si>
    <t>GMP67241206000028</t>
  </si>
  <si>
    <t>[MINI] Facial Treatment Essence</t>
  </si>
  <si>
    <t>GMP65241205000441</t>
  </si>
  <si>
    <t>GMP65241205000328</t>
  </si>
  <si>
    <t>GMP67241205000500</t>
  </si>
  <si>
    <t>TOY0100041-000-00</t>
  </si>
  <si>
    <t>Retinol 0.5% In Squalane</t>
  </si>
  <si>
    <t>GMP69241205000492</t>
  </si>
  <si>
    <t>GMP65241206000013</t>
  </si>
  <si>
    <t>GMP67241206000066</t>
  </si>
  <si>
    <t>GMP65241205000311</t>
  </si>
  <si>
    <t>GMP65241206000075</t>
  </si>
  <si>
    <t>GMP67241205000241</t>
  </si>
  <si>
    <t>LOX0101106-000-00</t>
  </si>
  <si>
    <t>Immortelle Precious Proactive Youth Skincare Essential Water</t>
  </si>
  <si>
    <t>LOX0101107-000-00</t>
  </si>
  <si>
    <t>Immortelle Precious Proactive Youth Skincare Eye Contour</t>
  </si>
  <si>
    <t>GMP69241206000316</t>
  </si>
  <si>
    <t>LOX0101156-000-00</t>
  </si>
  <si>
    <t>Relaxing &amp; Moisturizing Aromachology Body Lotion (Refill)</t>
  </si>
  <si>
    <t>GMP69241208000444</t>
  </si>
  <si>
    <t>ELX0100953-000-00</t>
  </si>
  <si>
    <t>Revitalizing Supreme+ Youth Power Soft Creme</t>
  </si>
  <si>
    <t>GMP67241208000125</t>
  </si>
  <si>
    <t>KLX0100207-000-00</t>
  </si>
  <si>
    <t>Calendula Deep Cleansing Foaming Face Wash</t>
  </si>
  <si>
    <t>GMP65241207000456</t>
  </si>
  <si>
    <t>GMP67241206000356</t>
  </si>
  <si>
    <t>LOX0100521-000-00</t>
  </si>
  <si>
    <t>Fleurs De Cerisier Cherry Blossom Creme Mains Hand Cream</t>
  </si>
  <si>
    <t>GMP67241207000225</t>
  </si>
  <si>
    <t>GMP65241208000288</t>
  </si>
  <si>
    <t>GMP65241208000424</t>
  </si>
  <si>
    <t>GMP69241208000062</t>
  </si>
  <si>
    <t>JOX0100122-000-00</t>
  </si>
  <si>
    <t>Shampoo For Dry Hair With Evening Primrose</t>
  </si>
  <si>
    <t>GMP67241207000171</t>
  </si>
  <si>
    <t>GMP67241208000316</t>
  </si>
  <si>
    <t>GMP65241206000167</t>
  </si>
  <si>
    <t>GMP65241208000561</t>
  </si>
  <si>
    <t>GMP65241206000242</t>
  </si>
  <si>
    <t>GMP67241207000317</t>
  </si>
  <si>
    <t>CLX0100816-000-00</t>
  </si>
  <si>
    <t>Roll-On Deodorant (Alcohol-Free)</t>
  </si>
  <si>
    <t>GMP69241207000353</t>
  </si>
  <si>
    <t>GMP65241208000523</t>
  </si>
  <si>
    <t>GMP65241208000332</t>
  </si>
  <si>
    <t>GMP65241207000104</t>
  </si>
  <si>
    <t>WDX0100364-000-00</t>
  </si>
  <si>
    <t>Stretch Mark Massage Oil With Pump (Schwangerschafts-Pflegeol)</t>
  </si>
  <si>
    <t>GMP65241207000371</t>
  </si>
  <si>
    <t>GMP69241207000537</t>
  </si>
  <si>
    <t>GMP65241208000349</t>
  </si>
  <si>
    <t>GMP69241207000032</t>
  </si>
  <si>
    <t>GMP69241207000063</t>
  </si>
  <si>
    <t>GMP67241209000186</t>
  </si>
  <si>
    <t>GMP65241209000379</t>
  </si>
  <si>
    <t>GMP67241210000090</t>
  </si>
  <si>
    <t>GMP65241209000225</t>
  </si>
  <si>
    <t>GMP65241209000300</t>
  </si>
  <si>
    <t>GMP65241210000061</t>
  </si>
  <si>
    <t>GMP69241210000258</t>
  </si>
  <si>
    <t>GMP67241210000595</t>
  </si>
  <si>
    <t>GMP65241210000443</t>
  </si>
  <si>
    <t>CQX0100775-000-00</t>
  </si>
  <si>
    <t>Even Better Clinical Radical Dark Spot Corrector + Interrupter</t>
  </si>
  <si>
    <t>GMP65241210000146</t>
  </si>
  <si>
    <t>GMP69241210000517</t>
  </si>
  <si>
    <t>GMP65241210000269</t>
  </si>
  <si>
    <t>GMP65241210000603</t>
  </si>
  <si>
    <t>GMP67241210000342</t>
  </si>
  <si>
    <t>GMP65241210000351</t>
  </si>
  <si>
    <t>GMP67241210000304</t>
  </si>
  <si>
    <t>LOX0101197-000-00</t>
  </si>
  <si>
    <t>GMP65241210000313</t>
  </si>
  <si>
    <t>CDP0100090-000-00</t>
  </si>
  <si>
    <t>Correcting Cream Veil N SPF25 PA++</t>
  </si>
  <si>
    <t>GMP65241211000213</t>
  </si>
  <si>
    <t>GMP67241210000427</t>
  </si>
  <si>
    <t>GMP69241212000638</t>
  </si>
  <si>
    <t>LOX0401194-000-00</t>
  </si>
  <si>
    <t>Nourishing Shea Butter Body Care Gift Set</t>
  </si>
  <si>
    <t>GMP65241211001111</t>
  </si>
  <si>
    <t>GMP65241212000953</t>
  </si>
  <si>
    <t>GMP65241211000237</t>
  </si>
  <si>
    <t>GMP65241211000305</t>
  </si>
  <si>
    <t>LRX0100261-000-00</t>
  </si>
  <si>
    <t>Uvidea XL Tone-Up Light Cream SPF50+ PA++++</t>
  </si>
  <si>
    <t>GMP69241212000065</t>
  </si>
  <si>
    <t>LAB0100092-000-00</t>
  </si>
  <si>
    <t>Oil Control Clearing Water Lotion</t>
  </si>
  <si>
    <t>GMP67241212000807</t>
  </si>
  <si>
    <t>GMP69241212000591</t>
  </si>
  <si>
    <t>GMP65241211000367</t>
  </si>
  <si>
    <t>ELX0100956-000-00</t>
  </si>
  <si>
    <t>Advanced Night Repair Eye Supercharged Gel-Creme</t>
  </si>
  <si>
    <t>GMP65241211000961</t>
  </si>
  <si>
    <t>GMP65241212000861</t>
  </si>
  <si>
    <t>SKX0100187-000-00</t>
  </si>
  <si>
    <t>SK-II Men Moisturizing Cleanser</t>
  </si>
  <si>
    <t>GMP67241212001033</t>
  </si>
  <si>
    <t>GMP65241212001042</t>
  </si>
  <si>
    <t>GMP65241212000946</t>
  </si>
  <si>
    <t>GMP67241212001163</t>
  </si>
  <si>
    <t>GMP69241212002151</t>
  </si>
  <si>
    <t>GMP67241213000400</t>
  </si>
  <si>
    <t>GMP67241213000073</t>
  </si>
  <si>
    <t>TOY0100044-000-00</t>
  </si>
  <si>
    <t>100% Organic Cold-Pressed Rose Hip Seed Oil</t>
  </si>
  <si>
    <t>GMP69241213000323</t>
  </si>
  <si>
    <t>GMP65241213000341</t>
  </si>
  <si>
    <t>GMP67241213000271</t>
  </si>
  <si>
    <t>GMP69241213000149</t>
  </si>
  <si>
    <t>JQX0100289-000-00</t>
  </si>
  <si>
    <t>Citrus Hand Cream</t>
  </si>
  <si>
    <t>GMP69241212001765</t>
  </si>
  <si>
    <t>GMP67241212001439</t>
  </si>
  <si>
    <t>KLX0100010-000-00</t>
  </si>
  <si>
    <t>Calendula Toner</t>
  </si>
  <si>
    <t>GMP67241212002078</t>
  </si>
  <si>
    <t>GMP69241213000095</t>
  </si>
  <si>
    <t>GRX0100411-000-00</t>
  </si>
  <si>
    <t>Abeille Royale Daily Repair Serum</t>
  </si>
  <si>
    <t>GMP65241212002001</t>
  </si>
  <si>
    <t>GMP65241213000358</t>
  </si>
  <si>
    <t>GMP67241212001576</t>
  </si>
  <si>
    <t>GMP65241212001349</t>
  </si>
  <si>
    <t>GMP67241213000066</t>
  </si>
  <si>
    <t>GMP65241213000297</t>
  </si>
  <si>
    <t>GMP65241213000617</t>
  </si>
  <si>
    <t>GMP65241215000134</t>
  </si>
  <si>
    <t>GMP65241214000043</t>
  </si>
  <si>
    <t>GMP67241214000232</t>
  </si>
  <si>
    <t>GMP65241215000202</t>
  </si>
  <si>
    <t>GMP65241215000141</t>
  </si>
  <si>
    <t>GMP65241213000716</t>
  </si>
  <si>
    <t>ELX0100034-004-00</t>
  </si>
  <si>
    <t>DOUBLE WEAR STAY-IN-PLACE MAKEUP SPF 10</t>
  </si>
  <si>
    <t>GMP65241213000419</t>
  </si>
  <si>
    <t>GMP65241215000028</t>
  </si>
  <si>
    <t>GMP69241215000352</t>
  </si>
  <si>
    <t>GMP67241213000561</t>
  </si>
  <si>
    <t>GMP69241213000644</t>
  </si>
  <si>
    <t>GMP67241214000065</t>
  </si>
  <si>
    <t>GMP65241215000271</t>
  </si>
  <si>
    <t>GMP69241213000606</t>
  </si>
  <si>
    <t>GMP67241214000218</t>
  </si>
  <si>
    <t>GMP67241213000479</t>
  </si>
  <si>
    <t>CQX0100123-000-00</t>
  </si>
  <si>
    <t>Rinse Off Foaming Cleanser</t>
  </si>
  <si>
    <t>GMP65241214000258</t>
  </si>
  <si>
    <t>GMP67241213000660</t>
  </si>
  <si>
    <t>GMP65241213000730</t>
  </si>
  <si>
    <t>GMP67241216000186</t>
  </si>
  <si>
    <t>GMP69241216000139</t>
  </si>
  <si>
    <t>GMP69241216000245</t>
  </si>
  <si>
    <t>GMP65241216000263</t>
  </si>
  <si>
    <t>GMP65241216000119</t>
  </si>
  <si>
    <t>GMP67241216000094</t>
  </si>
  <si>
    <t>GMP67241216000179</t>
  </si>
  <si>
    <t>GMP65241216000294</t>
  </si>
  <si>
    <t>GMP65241217000118</t>
  </si>
  <si>
    <t>GMP67241217000154</t>
  </si>
  <si>
    <t>NXX0100263-000-00</t>
  </si>
  <si>
    <t>Prodigieux Floral Scented Shower Gel</t>
  </si>
  <si>
    <t>GMP65241218000124</t>
  </si>
  <si>
    <t>GMP65241217000163</t>
  </si>
  <si>
    <t>GMP67241217000062</t>
  </si>
  <si>
    <t>GMP67241217000215</t>
  </si>
  <si>
    <t>LOX0100566-000-00</t>
  </si>
  <si>
    <t>Verveine Agrumes Shower Gel</t>
  </si>
  <si>
    <t>GMP67241218000184</t>
  </si>
  <si>
    <t>KLX0100011-000-00</t>
  </si>
  <si>
    <t>GMP69241220000019</t>
  </si>
  <si>
    <t>AES0100114-000-00</t>
  </si>
  <si>
    <t>Lucent Facial Concentrate</t>
  </si>
  <si>
    <t>GMP65241219000192</t>
  </si>
  <si>
    <t>GMP69241220000026</t>
  </si>
  <si>
    <t>GMP65241219000116</t>
  </si>
  <si>
    <t>GMP69241222000093</t>
  </si>
  <si>
    <t>GMP65241222000134</t>
  </si>
  <si>
    <t>GMP69241222000239</t>
  </si>
  <si>
    <t>GMP65241222000035</t>
  </si>
  <si>
    <t>GMP67241221000119</t>
  </si>
  <si>
    <t>GMP67241223000001</t>
  </si>
  <si>
    <t>GMP65241224000040</t>
  </si>
  <si>
    <t>GMP65241223000157</t>
  </si>
  <si>
    <t>GMP65241224000057</t>
  </si>
  <si>
    <t>GMP65241223000201</t>
  </si>
  <si>
    <t>GMP69241227000029</t>
  </si>
  <si>
    <t>GMP65241226000208</t>
  </si>
  <si>
    <t>GMP65241225000308</t>
  </si>
  <si>
    <t>GMP69241227000036</t>
  </si>
  <si>
    <t>MO</t>
  </si>
  <si>
    <t>GMP67241227000106</t>
  </si>
  <si>
    <t>GMP65241226000215</t>
  </si>
  <si>
    <t>GMP65241227000054</t>
  </si>
  <si>
    <t>GMP67241225000177</t>
  </si>
  <si>
    <t>GMP69241226000143</t>
  </si>
  <si>
    <t>GMP67241225000214</t>
  </si>
  <si>
    <t>GMP67241227000076</t>
  </si>
  <si>
    <t>GMP66240904000485</t>
  </si>
  <si>
    <t>TW</t>
  </si>
  <si>
    <t>TWD</t>
  </si>
  <si>
    <t>GMP66240812000225</t>
  </si>
  <si>
    <t>AES0100113-000-00</t>
  </si>
  <si>
    <t>Gentle Facial Cleansing Milk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</si>
</sst>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\ h:mm:ss"/>
    <numFmt numFmtId="165" formatCode="[$HKD]\ #,##0.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6400"/>
      <name val="Calibri"/>
      <family val="2"/>
      <scheme val="minor"/>
    </font>
    <font>
      <sz val="2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theme="0" tint="-0.34998626667073579"/>
      </left>
      <right/>
      <top style="medium">
        <color theme="0" tint="-0.34998626667073579"/>
      </top>
      <bottom/>
      <diagonal/>
    </border>
    <border>
      <left style="medium">
        <color theme="0" tint="-0.24994659260841701"/>
      </left>
      <right/>
      <top style="medium">
        <color theme="0" tint="-0.24994659260841701"/>
      </top>
      <bottom/>
      <diagonal/>
    </border>
    <border>
      <left/>
      <right/>
      <top style="medium">
        <color theme="0" tint="-0.24994659260841701"/>
      </top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2" borderId="0" xfId="0" applyFill="1"/>
    <xf numFmtId="0" fontId="0" fillId="3" borderId="0" xfId="0" applyFill="1"/>
    <xf numFmtId="0" fontId="0" fillId="3" borderId="0" xfId="0" applyFill="1" applyAlignment="1">
      <alignment horizontal="left" vertical="center" indent="1"/>
    </xf>
    <xf numFmtId="0" fontId="0" fillId="3" borderId="0" xfId="0" applyFill="1" applyAlignment="1">
      <alignment vertical="center"/>
    </xf>
    <xf numFmtId="0" fontId="2" fillId="3" borderId="1" xfId="0" applyFont="1" applyFill="1" applyBorder="1" applyAlignment="1">
      <alignment horizontal="left" vertical="center" indent="1"/>
    </xf>
    <xf numFmtId="0" fontId="0" fillId="3" borderId="2" xfId="0" applyFill="1" applyBorder="1" applyAlignment="1">
      <alignment vertical="center"/>
    </xf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 applyAlignment="1">
      <alignment horizontal="left" vertical="center" indent="1"/>
    </xf>
    <xf numFmtId="0" fontId="0" fillId="3" borderId="5" xfId="0" applyFill="1" applyBorder="1"/>
    <xf numFmtId="0" fontId="3" fillId="3" borderId="6" xfId="0" applyFont="1" applyFill="1" applyBorder="1" applyAlignment="1">
      <alignment horizontal="left" vertical="center" indent="1"/>
    </xf>
    <xf numFmtId="0" fontId="0" fillId="3" borderId="7" xfId="0" applyFill="1" applyBorder="1" applyAlignment="1">
      <alignment vertical="center"/>
    </xf>
    <xf numFmtId="0" fontId="0" fillId="3" borderId="7" xfId="0" applyFill="1" applyBorder="1"/>
    <xf numFmtId="0" fontId="0" fillId="3" borderId="8" xfId="0" applyFill="1" applyBorder="1"/>
    <xf numFmtId="0" fontId="1" fillId="3" borderId="4" xfId="0" applyFont="1" applyFill="1" applyBorder="1" applyAlignment="1">
      <alignment horizontal="left" vertical="center" indent="1"/>
    </xf>
    <xf numFmtId="14" fontId="0" fillId="4" borderId="9" xfId="0" applyNumberFormat="1" applyFill="1" applyBorder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0" fillId="4" borderId="9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3" borderId="5" xfId="0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0" fillId="4" borderId="9" xfId="0" applyFill="1" applyBorder="1" applyAlignment="1">
      <alignment horizontal="left" vertical="center"/>
    </xf>
    <xf numFmtId="22" fontId="0" fillId="4" borderId="9" xfId="0" applyNumberFormat="1" applyFill="1" applyBorder="1" applyAlignment="1">
      <alignment horizontal="left" vertical="center"/>
    </xf>
    <xf numFmtId="21" fontId="0" fillId="4" borderId="9" xfId="0" applyNumberFormat="1" applyFill="1" applyBorder="1" applyAlignment="1">
      <alignment horizontal="left" vertical="center"/>
    </xf>
    <xf numFmtId="0" fontId="0" fillId="3" borderId="6" xfId="0" applyFill="1" applyBorder="1" applyAlignment="1">
      <alignment horizontal="left" vertical="center" indent="1"/>
    </xf>
    <xf numFmtId="0" fontId="1" fillId="4" borderId="0" xfId="0" applyFont="1" applyFill="1"/>
    <xf numFmtId="164" fontId="1" fillId="4" borderId="0" xfId="0" applyNumberFormat="1" applyFont="1" applyFill="1"/>
    <xf numFmtId="164" fontId="0" fillId="0" borderId="0" xfId="0" applyNumberFormat="1"/>
    <xf numFmtId="17" fontId="0" fillId="0" borderId="0" xfId="0" applyNumberFormat="1"/>
    <xf numFmtId="0" fontId="5" fillId="0" borderId="0" xfId="0" applyFont="1" applyAlignment="1">
      <alignment horizontal="left" vertical="center"/>
    </xf>
    <xf numFmtId="165" fontId="0" fillId="0" borderId="0" xfId="0" applyNumberFormat="1"/>
    <xf numFmtId="0" fontId="1" fillId="0" borderId="0" xfId="0" applyFont="1"/>
    <xf numFmtId="0" fontId="0" fillId="0" borderId="0" xfId="0" applyAlignment="1">
      <alignment horizontal="right"/>
    </xf>
    <xf numFmtId="0" fontId="6" fillId="0" borderId="0" xfId="0" applyFont="1" applyAlignment="1">
      <alignment vertical="center"/>
    </xf>
    <xf numFmtId="165" fontId="7" fillId="0" borderId="0" xfId="0" applyNumberFormat="1" applyFont="1" applyAlignment="1">
      <alignment vertical="center"/>
    </xf>
    <xf numFmtId="0" fontId="0" fillId="2" borderId="10" xfId="0" applyFill="1" applyBorder="1" applyAlignment="1">
      <alignment horizontal="left" vertical="center"/>
    </xf>
    <xf numFmtId="0" fontId="0" fillId="2" borderId="11" xfId="0" applyFill="1" applyBorder="1" applyAlignment="1">
      <alignment horizontal="left" vertical="center"/>
    </xf>
  </cellXfs>
  <cellStyles count="1">
    <cellStyle name="Normal" xfId="0" builtinId="0"/>
  </cellStyles>
  <dxfs count="1">
    <dxf>
      <font>
        <color rgb="FFFF0000"/>
      </font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402430</xdr:colOff>
      <xdr:row>6</xdr:row>
      <xdr:rowOff>180975</xdr:rowOff>
    </xdr:from>
    <xdr:to>
      <xdr:col>6</xdr:col>
      <xdr:colOff>622105</xdr:colOff>
      <xdr:row>10</xdr:row>
      <xdr:rowOff>9525</xdr:rowOff>
    </xdr:to>
    <xdr:sp macro="[0]!PrintAnalyticsofFiles" textlink="">
      <xdr:nvSpPr>
        <xdr:cNvPr id="7" name="Reset Template">
          <a:extLst>
            <a:ext uri="{FF2B5EF4-FFF2-40B4-BE49-F238E27FC236}">
              <a16:creationId xmlns:a16="http://schemas.microsoft.com/office/drawing/2014/main" id="{81D0A892-8714-451A-9067-ECAE7A5EBBE1}"/>
            </a:ext>
          </a:extLst>
        </xdr:cNvPr>
        <xdr:cNvSpPr/>
      </xdr:nvSpPr>
      <xdr:spPr>
        <a:xfrm>
          <a:off x="5831680" y="1447800"/>
          <a:ext cx="2210400" cy="466725"/>
        </a:xfrm>
        <a:prstGeom prst="roundRect">
          <a:avLst/>
        </a:prstGeom>
        <a:solidFill>
          <a:srgbClr val="0000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MY" sz="1400" b="1" baseline="0">
              <a:solidFill>
                <a:srgbClr val="FFFFFF"/>
              </a:solidFill>
            </a:rPr>
            <a:t>Print ALL</a:t>
          </a:r>
          <a:endParaRPr lang="en-MY" sz="1400" b="1">
            <a:solidFill>
              <a:srgbClr val="FFFFFF"/>
            </a:solidFill>
          </a:endParaRPr>
        </a:p>
      </xdr:txBody>
    </xdr:sp>
    <xdr:clientData/>
  </xdr:twoCellAnchor>
  <xdr:twoCellAnchor>
    <xdr:from>
      <xdr:col>6</xdr:col>
      <xdr:colOff>2495550</xdr:colOff>
      <xdr:row>1</xdr:row>
      <xdr:rowOff>158906</xdr:rowOff>
    </xdr:from>
    <xdr:to>
      <xdr:col>7</xdr:col>
      <xdr:colOff>509414</xdr:colOff>
      <xdr:row>3</xdr:row>
      <xdr:rowOff>19051</xdr:rowOff>
    </xdr:to>
    <xdr:sp macro="[0]!Lock_Example" textlink="">
      <xdr:nvSpPr>
        <xdr:cNvPr id="11" name="Calc Data">
          <a:extLst>
            <a:ext uri="{FF2B5EF4-FFF2-40B4-BE49-F238E27FC236}">
              <a16:creationId xmlns:a16="http://schemas.microsoft.com/office/drawing/2014/main" id="{0F1FF659-E5B9-4E5E-9934-45652868EEF1}"/>
            </a:ext>
          </a:extLst>
        </xdr:cNvPr>
        <xdr:cNvSpPr/>
      </xdr:nvSpPr>
      <xdr:spPr>
        <a:xfrm>
          <a:off x="9734550" y="358931"/>
          <a:ext cx="785639" cy="345920"/>
        </a:xfrm>
        <a:prstGeom prst="roundRect">
          <a:avLst/>
        </a:prstGeom>
        <a:solidFill>
          <a:srgbClr val="0000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MY" sz="1050" b="1">
              <a:solidFill>
                <a:srgbClr val="FFFFFF"/>
              </a:solidFill>
            </a:rPr>
            <a:t>LOCK VBA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02659-E0C6-4BC0-9BC8-CF0BF12284A3}">
  <sheetPr codeName="Sheet3">
    <tabColor rgb="FFCCFFCC"/>
    <pageSetUpPr fitToPage="1"/>
  </sheetPr>
  <dimension ref="A1:I51"/>
  <sheetViews>
    <sheetView tabSelected="1" zoomScaleNormal="100" workbookViewId="0">
      <selection activeCell="C5" sqref="C5"/>
    </sheetView>
  </sheetViews>
  <sheetFormatPr defaultColWidth="0" defaultRowHeight="15" customHeight="1" zeroHeight="1" x14ac:dyDescent="0.25"/>
  <cols>
    <col min="1" max="1" width="2.85546875" customWidth="1"/>
    <col min="2" max="2" width="31.7109375" customWidth="1"/>
    <col min="3" max="3" width="46.85546875" customWidth="1"/>
    <col min="4" max="4" width="9.140625" customWidth="1"/>
    <col min="5" max="5" width="11.5703125" customWidth="1"/>
    <col min="6" max="6" width="9.140625" customWidth="1"/>
    <col min="7" max="7" width="41.5703125" customWidth="1"/>
    <col min="8" max="8" width="9.140625" customWidth="1"/>
    <col min="9" max="9" width="2.85546875" customWidth="1"/>
    <col min="10" max="16384" width="9.140625" hidden="1"/>
  </cols>
  <sheetData>
    <row r="1" spans="1:9" ht="15.75" thickBot="1" x14ac:dyDescent="0.3">
      <c r="A1" s="2"/>
      <c r="B1" s="3"/>
      <c r="C1" s="4"/>
      <c r="D1" s="2"/>
      <c r="E1" s="4"/>
      <c r="F1" s="4"/>
      <c r="G1" s="2"/>
      <c r="H1" s="2"/>
      <c r="I1" s="2"/>
    </row>
    <row r="2" spans="1:9" ht="23.25" x14ac:dyDescent="0.25">
      <c r="A2" s="2"/>
      <c r="B2" s="5" t="s">
        <v>27</v>
      </c>
      <c r="C2" s="6"/>
      <c r="D2" s="7"/>
      <c r="E2" s="6"/>
      <c r="F2" s="6"/>
      <c r="G2" s="7"/>
      <c r="H2" s="8"/>
      <c r="I2" s="2"/>
    </row>
    <row r="3" spans="1:9" x14ac:dyDescent="0.25">
      <c r="A3" s="2"/>
      <c r="B3" s="9" t="s">
        <v>4</v>
      </c>
      <c r="C3" s="4"/>
      <c r="D3" s="2"/>
      <c r="E3" s="4"/>
      <c r="F3" s="4"/>
      <c r="G3" s="2"/>
      <c r="H3" s="10"/>
      <c r="I3" s="2"/>
    </row>
    <row r="4" spans="1:9" ht="15.75" thickBot="1" x14ac:dyDescent="0.3">
      <c r="A4" s="2"/>
      <c r="B4" s="11" t="s">
        <v>26</v>
      </c>
      <c r="C4" s="12"/>
      <c r="D4" s="13"/>
      <c r="E4" s="12"/>
      <c r="F4" s="12"/>
      <c r="G4" s="13"/>
      <c r="H4" s="14"/>
      <c r="I4" s="2"/>
    </row>
    <row r="5" spans="1:9" x14ac:dyDescent="0.25">
      <c r="A5" s="2"/>
      <c r="B5" s="9"/>
      <c r="C5" s="4"/>
      <c r="D5" s="2"/>
      <c r="E5" s="4"/>
      <c r="F5" s="4"/>
      <c r="G5" s="2"/>
      <c r="H5" s="10"/>
      <c r="I5" s="2"/>
    </row>
    <row r="6" spans="1:9" x14ac:dyDescent="0.25">
      <c r="A6" s="2"/>
      <c r="B6" s="9"/>
      <c r="C6" s="4"/>
      <c r="D6" s="2"/>
      <c r="E6" s="4"/>
      <c r="F6" s="4"/>
      <c r="G6" s="2"/>
      <c r="H6" s="10"/>
      <c r="I6" s="2"/>
    </row>
    <row r="7" spans="1:9" ht="15.75" thickBot="1" x14ac:dyDescent="0.3">
      <c r="A7" s="2"/>
      <c r="B7" s="15" t="s">
        <v>5</v>
      </c>
      <c r="C7" s="4"/>
      <c r="D7" s="2"/>
      <c r="E7" s="4"/>
      <c r="F7" s="4"/>
      <c r="G7" s="2"/>
      <c r="H7" s="10"/>
      <c r="I7" s="2"/>
    </row>
    <row r="8" spans="1:9" x14ac:dyDescent="0.25">
      <c r="A8" s="2"/>
      <c r="B8" s="9" t="s">
        <v>6</v>
      </c>
      <c r="C8" s="16">
        <f ca="1">TODAY()</f>
        <v>45925</v>
      </c>
      <c r="D8" s="2"/>
      <c r="E8" s="4"/>
      <c r="F8" s="4"/>
      <c r="G8" s="2"/>
      <c r="H8" s="10"/>
      <c r="I8" s="2"/>
    </row>
    <row r="9" spans="1:9" ht="4.5" customHeight="1" thickBot="1" x14ac:dyDescent="0.3">
      <c r="A9" s="2"/>
      <c r="B9" s="9"/>
      <c r="C9" s="17"/>
      <c r="D9" s="2"/>
      <c r="E9" s="4"/>
      <c r="F9" s="4"/>
      <c r="G9" s="2"/>
      <c r="H9" s="10"/>
      <c r="I9" s="2"/>
    </row>
    <row r="10" spans="1:9" x14ac:dyDescent="0.25">
      <c r="A10" s="2"/>
      <c r="B10" s="9" t="s">
        <v>7</v>
      </c>
      <c r="C10" s="18" t="s">
        <v>138</v>
      </c>
      <c r="D10" s="2"/>
      <c r="E10" s="4"/>
      <c r="F10" s="4"/>
      <c r="G10" s="2"/>
      <c r="H10" s="10"/>
      <c r="I10" s="2"/>
    </row>
    <row r="11" spans="1:9" ht="4.5" customHeight="1" x14ac:dyDescent="0.25">
      <c r="A11" s="2"/>
      <c r="B11" s="9"/>
      <c r="C11" s="4"/>
      <c r="D11" s="2"/>
      <c r="E11" s="4"/>
      <c r="F11" s="4"/>
      <c r="G11" s="2"/>
      <c r="H11" s="10"/>
      <c r="I11" s="2"/>
    </row>
    <row r="12" spans="1:9" hidden="1" x14ac:dyDescent="0.25">
      <c r="A12" s="2"/>
      <c r="B12" s="9" t="s">
        <v>8</v>
      </c>
      <c r="C12" s="19"/>
      <c r="D12" s="2"/>
      <c r="E12" s="4"/>
      <c r="F12" s="4"/>
      <c r="G12" s="2"/>
      <c r="H12" s="10"/>
      <c r="I12" s="2"/>
    </row>
    <row r="13" spans="1:9" ht="15.75" customHeight="1" x14ac:dyDescent="0.25">
      <c r="A13" s="2"/>
      <c r="B13" s="9"/>
      <c r="C13" s="4"/>
      <c r="D13" s="2"/>
      <c r="E13" s="4"/>
      <c r="F13" s="4"/>
      <c r="G13" s="2"/>
      <c r="H13" s="10"/>
      <c r="I13" s="2"/>
    </row>
    <row r="14" spans="1:9" x14ac:dyDescent="0.25">
      <c r="A14" s="2"/>
      <c r="B14" s="15" t="s">
        <v>29</v>
      </c>
      <c r="C14" s="4"/>
      <c r="D14" s="2"/>
      <c r="E14" s="4"/>
      <c r="F14" s="4"/>
      <c r="G14" s="2"/>
      <c r="H14" s="10"/>
      <c r="I14" s="2"/>
    </row>
    <row r="15" spans="1:9" ht="4.5" customHeight="1" thickBot="1" x14ac:dyDescent="0.3">
      <c r="A15" s="2"/>
      <c r="B15" s="9"/>
      <c r="C15" s="4"/>
      <c r="D15" s="2"/>
      <c r="E15" s="4"/>
      <c r="F15" s="4"/>
      <c r="G15" s="2"/>
      <c r="H15" s="10"/>
      <c r="I15" s="2"/>
    </row>
    <row r="16" spans="1:9" ht="27" customHeight="1" x14ac:dyDescent="0.25">
      <c r="A16" s="4"/>
      <c r="B16" s="9" t="s">
        <v>30</v>
      </c>
      <c r="C16" s="36" t="s">
        <v>32</v>
      </c>
      <c r="D16" s="37"/>
      <c r="E16" s="37"/>
      <c r="F16" s="37"/>
      <c r="G16" s="37"/>
      <c r="H16" s="20"/>
      <c r="I16" s="4"/>
    </row>
    <row r="17" spans="1:9" ht="4.5" customHeight="1" x14ac:dyDescent="0.25">
      <c r="A17" s="4"/>
      <c r="B17" s="9"/>
      <c r="C17" s="4"/>
      <c r="D17" s="4"/>
      <c r="E17" s="4"/>
      <c r="F17" s="4"/>
      <c r="G17" s="4"/>
      <c r="H17" s="20"/>
      <c r="I17" s="4"/>
    </row>
    <row r="18" spans="1:9" ht="27" hidden="1" customHeight="1" x14ac:dyDescent="0.25">
      <c r="A18" s="4"/>
      <c r="B18" s="9"/>
      <c r="C18" s="36"/>
      <c r="D18" s="37"/>
      <c r="E18" s="37"/>
      <c r="F18" s="37"/>
      <c r="G18" s="37"/>
      <c r="H18" s="20"/>
      <c r="I18" s="4"/>
    </row>
    <row r="19" spans="1:9" ht="4.5" hidden="1" customHeight="1" thickBot="1" x14ac:dyDescent="0.3">
      <c r="A19" s="4"/>
      <c r="B19" s="9"/>
      <c r="C19" s="4"/>
      <c r="D19" s="4"/>
      <c r="E19" s="4"/>
      <c r="F19" s="4"/>
      <c r="G19" s="4"/>
      <c r="H19" s="20"/>
      <c r="I19" s="4"/>
    </row>
    <row r="20" spans="1:9" ht="27" hidden="1" customHeight="1" x14ac:dyDescent="0.25">
      <c r="A20" s="4"/>
      <c r="B20" s="9"/>
      <c r="C20" s="36"/>
      <c r="D20" s="37"/>
      <c r="E20" s="37"/>
      <c r="F20" s="37"/>
      <c r="G20" s="37"/>
      <c r="H20" s="20"/>
      <c r="I20" s="4"/>
    </row>
    <row r="21" spans="1:9" ht="4.5" hidden="1" customHeight="1" thickBot="1" x14ac:dyDescent="0.3">
      <c r="A21" s="4"/>
      <c r="B21" s="9"/>
      <c r="C21" s="4"/>
      <c r="D21" s="4"/>
      <c r="E21" s="4"/>
      <c r="F21" s="4"/>
      <c r="G21" s="4"/>
      <c r="H21" s="20"/>
      <c r="I21" s="4"/>
    </row>
    <row r="22" spans="1:9" ht="27" hidden="1" customHeight="1" x14ac:dyDescent="0.25">
      <c r="A22" s="4"/>
      <c r="B22" s="9"/>
      <c r="C22" s="36"/>
      <c r="D22" s="37"/>
      <c r="E22" s="37"/>
      <c r="F22" s="37"/>
      <c r="G22" s="37"/>
      <c r="H22" s="20"/>
      <c r="I22" s="4"/>
    </row>
    <row r="23" spans="1:9" ht="30.75" hidden="1" customHeight="1" x14ac:dyDescent="0.25">
      <c r="A23" s="2"/>
      <c r="B23" s="9"/>
      <c r="C23" s="21"/>
      <c r="D23" s="2"/>
      <c r="E23" s="4"/>
      <c r="F23" s="4"/>
      <c r="G23" s="2"/>
      <c r="H23" s="10"/>
      <c r="I23" s="2"/>
    </row>
    <row r="24" spans="1:9" x14ac:dyDescent="0.25">
      <c r="A24" s="2"/>
      <c r="B24" s="9"/>
      <c r="C24" s="4"/>
      <c r="D24" s="2"/>
      <c r="E24" s="4"/>
      <c r="F24" s="4"/>
      <c r="G24" s="2"/>
      <c r="H24" s="10"/>
      <c r="I24" s="2"/>
    </row>
    <row r="25" spans="1:9" ht="15.75" thickBot="1" x14ac:dyDescent="0.3">
      <c r="A25" s="2"/>
      <c r="B25" s="15" t="s">
        <v>11</v>
      </c>
      <c r="C25" s="4"/>
      <c r="D25" s="2"/>
      <c r="E25" s="4"/>
      <c r="F25" s="4"/>
      <c r="G25" s="2"/>
      <c r="H25" s="10"/>
      <c r="I25" s="2"/>
    </row>
    <row r="26" spans="1:9" ht="15.75" thickBot="1" x14ac:dyDescent="0.3">
      <c r="A26" s="2"/>
      <c r="B26" s="9" t="s">
        <v>12</v>
      </c>
      <c r="C26" s="22" t="s">
        <v>13</v>
      </c>
      <c r="D26" s="2"/>
      <c r="E26" s="4"/>
      <c r="F26" s="4"/>
      <c r="G26" s="2"/>
      <c r="H26" s="10"/>
      <c r="I26" s="2"/>
    </row>
    <row r="27" spans="1:9" ht="15.75" thickBot="1" x14ac:dyDescent="0.3">
      <c r="A27" s="2"/>
      <c r="B27" s="9" t="s">
        <v>14</v>
      </c>
      <c r="C27" s="23">
        <v>45692.654108796298</v>
      </c>
      <c r="D27" s="2"/>
      <c r="E27" s="4"/>
      <c r="F27" s="4"/>
      <c r="G27" s="2"/>
      <c r="H27" s="10"/>
      <c r="I27" s="2"/>
    </row>
    <row r="28" spans="1:9" ht="15.75" thickBot="1" x14ac:dyDescent="0.3">
      <c r="A28" s="2"/>
      <c r="B28" s="9" t="s">
        <v>15</v>
      </c>
      <c r="C28" s="24">
        <v>3.1250000000000001E-4</v>
      </c>
      <c r="D28" s="2"/>
      <c r="E28" s="4"/>
      <c r="F28" s="4"/>
      <c r="G28" s="2"/>
      <c r="H28" s="10"/>
      <c r="I28" s="2"/>
    </row>
    <row r="29" spans="1:9" x14ac:dyDescent="0.25">
      <c r="A29" s="2"/>
      <c r="B29" s="9" t="s">
        <v>16</v>
      </c>
      <c r="C29" s="22" t="s">
        <v>17</v>
      </c>
      <c r="D29" s="2"/>
      <c r="E29" s="4"/>
      <c r="F29" s="4"/>
      <c r="G29" s="2"/>
      <c r="H29" s="10"/>
      <c r="I29" s="2"/>
    </row>
    <row r="30" spans="1:9" x14ac:dyDescent="0.25">
      <c r="A30" s="2"/>
      <c r="B30" s="9"/>
      <c r="C30" s="4"/>
      <c r="D30" s="2"/>
      <c r="E30" s="4"/>
      <c r="F30" s="4"/>
      <c r="G30" s="2"/>
      <c r="H30" s="10"/>
      <c r="I30" s="2"/>
    </row>
    <row r="31" spans="1:9" x14ac:dyDescent="0.25">
      <c r="A31" s="2"/>
      <c r="B31" s="9"/>
      <c r="C31" s="4"/>
      <c r="D31" s="2"/>
      <c r="E31" s="4"/>
      <c r="F31" s="4"/>
      <c r="G31" s="2"/>
      <c r="H31" s="10"/>
      <c r="I31" s="2"/>
    </row>
    <row r="32" spans="1:9" x14ac:dyDescent="0.25">
      <c r="A32" s="2"/>
      <c r="B32" s="9"/>
      <c r="C32" s="4"/>
      <c r="D32" s="2"/>
      <c r="E32" s="4"/>
      <c r="F32" s="4"/>
      <c r="G32" s="2"/>
      <c r="H32" s="10"/>
      <c r="I32" s="2"/>
    </row>
    <row r="33" spans="1:9" x14ac:dyDescent="0.25">
      <c r="A33" s="2"/>
      <c r="B33" s="9"/>
      <c r="C33" s="4"/>
      <c r="D33" s="2"/>
      <c r="E33" s="4"/>
      <c r="F33" s="4"/>
      <c r="G33" s="2"/>
      <c r="H33" s="10"/>
      <c r="I33" s="2"/>
    </row>
    <row r="34" spans="1:9" ht="15.75" thickBot="1" x14ac:dyDescent="0.3">
      <c r="A34" s="2"/>
      <c r="B34" s="25"/>
      <c r="C34" s="12"/>
      <c r="D34" s="13"/>
      <c r="E34" s="12"/>
      <c r="F34" s="12"/>
      <c r="G34" s="13"/>
      <c r="H34" s="14"/>
      <c r="I34" s="2"/>
    </row>
    <row r="35" spans="1:9" ht="15" customHeight="1" x14ac:dyDescent="0.25">
      <c r="A35" s="2"/>
      <c r="B35" s="3"/>
      <c r="C35" s="4"/>
      <c r="D35" s="2"/>
      <c r="E35" s="4"/>
      <c r="F35" s="4"/>
      <c r="G35" s="2"/>
      <c r="H35" s="2"/>
      <c r="I35" s="2"/>
    </row>
    <row r="36" spans="1:9" ht="15" customHeight="1" x14ac:dyDescent="0.25">
      <c r="A36" s="2"/>
      <c r="B36" s="3"/>
      <c r="C36" s="4"/>
      <c r="D36" s="2"/>
      <c r="E36" s="4"/>
      <c r="F36" s="4"/>
      <c r="G36" s="2"/>
      <c r="H36" s="2"/>
      <c r="I36" s="2"/>
    </row>
    <row r="37" spans="1:9" ht="40.5" hidden="1" customHeight="1" x14ac:dyDescent="0.25">
      <c r="A37" s="2"/>
      <c r="B37" s="5"/>
      <c r="C37" s="6"/>
      <c r="D37" s="7"/>
      <c r="E37" s="6"/>
      <c r="F37" s="6"/>
      <c r="G37" s="7"/>
      <c r="H37" s="8"/>
      <c r="I37" s="2"/>
    </row>
    <row r="38" spans="1:9" ht="15" hidden="1" customHeight="1" x14ac:dyDescent="0.25">
      <c r="A38" s="2"/>
      <c r="B38" s="9"/>
      <c r="C38" s="2"/>
      <c r="D38" s="2"/>
      <c r="E38" s="2"/>
      <c r="F38" s="2"/>
      <c r="G38" s="2"/>
      <c r="H38" s="10"/>
      <c r="I38" s="2"/>
    </row>
    <row r="39" spans="1:9" ht="15" hidden="1" customHeight="1" x14ac:dyDescent="0.25">
      <c r="A39" s="2"/>
      <c r="B39" s="9"/>
      <c r="C39" s="2"/>
      <c r="D39" s="2"/>
      <c r="E39" s="2"/>
      <c r="F39" s="2"/>
      <c r="G39" s="2"/>
      <c r="H39" s="10"/>
      <c r="I39" s="2"/>
    </row>
    <row r="40" spans="1:9" ht="15" hidden="1" customHeight="1" x14ac:dyDescent="0.25">
      <c r="A40" s="2"/>
      <c r="B40" s="9"/>
      <c r="C40" s="2"/>
      <c r="D40" s="2"/>
      <c r="E40" s="2"/>
      <c r="F40" s="2"/>
      <c r="G40" s="2"/>
      <c r="H40" s="10"/>
      <c r="I40" s="2"/>
    </row>
    <row r="41" spans="1:9" ht="15" hidden="1" customHeight="1" x14ac:dyDescent="0.25">
      <c r="A41" s="2"/>
      <c r="B41" s="9"/>
      <c r="C41" s="2"/>
      <c r="D41" s="2"/>
      <c r="E41" s="2"/>
      <c r="F41" s="2"/>
      <c r="G41" s="2"/>
      <c r="H41" s="10"/>
      <c r="I41" s="2"/>
    </row>
    <row r="42" spans="1:9" ht="15" hidden="1" customHeight="1" x14ac:dyDescent="0.25">
      <c r="A42" s="2"/>
      <c r="B42" s="9"/>
      <c r="C42" s="2"/>
      <c r="D42" s="2"/>
      <c r="E42" s="2"/>
      <c r="F42" s="2"/>
      <c r="G42" s="2"/>
      <c r="H42" s="10"/>
      <c r="I42" s="2"/>
    </row>
    <row r="43" spans="1:9" ht="15" hidden="1" customHeight="1" x14ac:dyDescent="0.25">
      <c r="A43" s="2"/>
      <c r="B43" s="9"/>
      <c r="C43" s="2"/>
      <c r="D43" s="2"/>
      <c r="E43" s="2"/>
      <c r="F43" s="2"/>
      <c r="G43" s="2"/>
      <c r="H43" s="10"/>
      <c r="I43" s="2"/>
    </row>
    <row r="44" spans="1:9" ht="15" hidden="1" customHeight="1" x14ac:dyDescent="0.25">
      <c r="A44" s="2"/>
      <c r="B44" s="9"/>
      <c r="C44" s="2"/>
      <c r="D44" s="2"/>
      <c r="E44" s="2"/>
      <c r="F44" s="2"/>
      <c r="G44" s="2"/>
      <c r="H44" s="10"/>
      <c r="I44" s="2"/>
    </row>
    <row r="45" spans="1:9" ht="15" hidden="1" customHeight="1" x14ac:dyDescent="0.25">
      <c r="A45" s="2"/>
      <c r="B45" s="9"/>
      <c r="C45" s="2"/>
      <c r="D45" s="2"/>
      <c r="E45" s="2"/>
      <c r="F45" s="2"/>
      <c r="G45" s="2"/>
      <c r="H45" s="10"/>
      <c r="I45" s="2"/>
    </row>
    <row r="46" spans="1:9" ht="15" hidden="1" customHeight="1" x14ac:dyDescent="0.25">
      <c r="A46" s="2"/>
      <c r="B46" s="9"/>
      <c r="C46" s="2"/>
      <c r="D46" s="2"/>
      <c r="E46" s="2"/>
      <c r="F46" s="2"/>
      <c r="G46" s="2"/>
      <c r="H46" s="10"/>
      <c r="I46" s="2"/>
    </row>
    <row r="47" spans="1:9" ht="15" hidden="1" customHeight="1" x14ac:dyDescent="0.25">
      <c r="A47" s="2"/>
      <c r="B47" s="9"/>
      <c r="C47" s="2"/>
      <c r="D47" s="2"/>
      <c r="E47" s="2"/>
      <c r="F47" s="2"/>
      <c r="G47" s="2"/>
      <c r="H47" s="10"/>
      <c r="I47" s="2"/>
    </row>
    <row r="48" spans="1:9" ht="15" hidden="1" customHeight="1" x14ac:dyDescent="0.25">
      <c r="A48" s="2"/>
      <c r="B48" s="9"/>
      <c r="C48" s="2"/>
      <c r="D48" s="2"/>
      <c r="E48" s="2"/>
      <c r="F48" s="2"/>
      <c r="G48" s="2"/>
      <c r="H48" s="10"/>
      <c r="I48" s="2"/>
    </row>
    <row r="49" spans="1:9" ht="15" hidden="1" customHeight="1" x14ac:dyDescent="0.25">
      <c r="A49" s="2"/>
      <c r="B49" s="9"/>
      <c r="C49" s="2"/>
      <c r="D49" s="2"/>
      <c r="E49" s="2"/>
      <c r="F49" s="2"/>
      <c r="G49" s="2"/>
      <c r="H49" s="10"/>
      <c r="I49" s="2"/>
    </row>
    <row r="50" spans="1:9" ht="15" hidden="1" customHeight="1" thickBot="1" x14ac:dyDescent="0.3">
      <c r="A50" s="2"/>
      <c r="B50" s="25"/>
      <c r="C50" s="12"/>
      <c r="D50" s="13"/>
      <c r="E50" s="12"/>
      <c r="F50" s="12"/>
      <c r="G50" s="13"/>
      <c r="H50" s="14"/>
      <c r="I50" s="2"/>
    </row>
    <row r="51" spans="1:9" ht="15" hidden="1" customHeight="1" x14ac:dyDescent="0.25">
      <c r="A51" s="2"/>
      <c r="B51" s="3"/>
      <c r="C51" s="4"/>
      <c r="D51" s="2"/>
      <c r="E51" s="4"/>
      <c r="F51" s="4"/>
      <c r="G51" s="2"/>
      <c r="H51" s="2"/>
      <c r="I51" s="2"/>
    </row>
  </sheetData>
  <sheetProtection algorithmName="SHA-512" hashValue="PgIlCYb5ljSTt6fo78XzrKt/WY1jAcxzH8g3SkW2lfMhCCvTI0PK5cNNLJOkJueZo1wnszVelmKB4VRCLnwYdQ==" saltValue="i5omu3rIRid23bAhuGmK5A==" spinCount="100000" sheet="1" objects="1" scenarios="1"/>
  <protectedRanges>
    <protectedRange sqref="C16:G16" name="Range1"/>
  </protectedRanges>
  <mergeCells count="4">
    <mergeCell ref="C16:G16"/>
    <mergeCell ref="C18:G18"/>
    <mergeCell ref="C20:G20"/>
    <mergeCell ref="C22:G22"/>
  </mergeCells>
  <dataValidations count="1">
    <dataValidation type="list" allowBlank="1" showInputMessage="1" showErrorMessage="1" sqref="C12" xr:uid="{E9947F39-04C7-45D6-B993-17E25076015D}">
      <formula1>"2024-01,2024-02,2024-03,2024-04,2024-05,2024-06,2024-07,2024-08,2024-09,2024-10,2024-11,2024-12,2025-01,2025-02,2025-03,2025-04,2025-05,2025-06,2025-07,2025-08,2025-09,2025-10,2025-11,2025-12"</formula1>
    </dataValidation>
  </dataValidations>
  <pageMargins left="0.7" right="0.7" top="0.75" bottom="0.75" header="0.3" footer="0.3"/>
  <pageSetup fitToHeight="0" orientation="portrait" r:id="rId1"/>
  <headerFooter>
    <oddFooter>&amp;C&amp;"Calibri,Regular"&amp;8Template produced by Jerrison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Q358"/>
  <sheetViews>
    <sheetView workbookViewId="0">
      <selection activeCell="A2" sqref="A2"/>
    </sheetView>
  </sheetViews>
  <sheetFormatPr defaultRowHeight="15" x14ac:dyDescent="0.25"/>
  <sheetData>
    <row r="1" spans="1:43" x14ac:dyDescent="0.25">
      <c r="A1" t="s">
        <v>34</v>
      </c>
      <c r="B1" t="s">
        <v>35</v>
      </c>
      <c r="C1" t="s">
        <v>36</v>
      </c>
      <c r="D1" t="s">
        <v>12</v>
      </c>
      <c r="E1" t="s">
        <v>37</v>
      </c>
      <c r="F1" t="s">
        <v>38</v>
      </c>
      <c r="G1" t="s">
        <v>39</v>
      </c>
      <c r="H1" t="s">
        <v>40</v>
      </c>
      <c r="I1" t="s">
        <v>8</v>
      </c>
      <c r="J1" t="s">
        <v>41</v>
      </c>
      <c r="K1" t="s">
        <v>42</v>
      </c>
      <c r="L1" t="s">
        <v>43</v>
      </c>
      <c r="M1" t="s">
        <v>44</v>
      </c>
      <c r="N1" t="s">
        <v>45</v>
      </c>
      <c r="O1" t="s">
        <v>9</v>
      </c>
      <c r="P1" t="s">
        <v>46</v>
      </c>
      <c r="Q1" t="s">
        <v>47</v>
      </c>
      <c r="R1" t="s">
        <v>48</v>
      </c>
      <c r="S1" t="s">
        <v>49</v>
      </c>
      <c r="T1" t="s">
        <v>50</v>
      </c>
      <c r="U1" t="s">
        <v>51</v>
      </c>
      <c r="V1" t="s">
        <v>52</v>
      </c>
      <c r="W1" t="s">
        <v>53</v>
      </c>
      <c r="X1" t="s">
        <v>42</v>
      </c>
      <c r="Y1" t="s">
        <v>37</v>
      </c>
      <c r="Z1" t="s">
        <v>54</v>
      </c>
      <c r="AA1" t="s">
        <v>55</v>
      </c>
      <c r="AB1" t="s">
        <v>56</v>
      </c>
      <c r="AC1" t="s">
        <v>18</v>
      </c>
      <c r="AD1" t="s">
        <v>57</v>
      </c>
      <c r="AE1" t="s">
        <v>58</v>
      </c>
      <c r="AF1" t="s">
        <v>59</v>
      </c>
      <c r="AG1" t="s">
        <v>60</v>
      </c>
      <c r="AH1" t="s">
        <v>61</v>
      </c>
      <c r="AI1" t="s">
        <v>62</v>
      </c>
      <c r="AJ1" t="s">
        <v>63</v>
      </c>
      <c r="AK1" t="s">
        <v>64</v>
      </c>
      <c r="AL1" t="s">
        <v>65</v>
      </c>
      <c r="AM1" t="s">
        <v>66</v>
      </c>
      <c r="AN1" t="s">
        <v>67</v>
      </c>
      <c r="AO1" t="s">
        <v>68</v>
      </c>
      <c r="AP1" t="s">
        <v>69</v>
      </c>
      <c r="AQ1" t="s">
        <v>70</v>
      </c>
    </row>
    <row r="2" spans="1:43" x14ac:dyDescent="0.25">
      <c r="A2">
        <v>1</v>
      </c>
      <c r="B2" t="s">
        <v>71</v>
      </c>
      <c r="C2" t="s">
        <v>72</v>
      </c>
      <c r="D2" t="s">
        <v>73</v>
      </c>
      <c r="E2" t="s">
        <v>74</v>
      </c>
      <c r="F2">
        <v>240412675</v>
      </c>
      <c r="G2">
        <v>6567523</v>
      </c>
      <c r="H2" t="s">
        <v>75</v>
      </c>
      <c r="I2" t="s">
        <v>76</v>
      </c>
      <c r="J2" t="s">
        <v>75</v>
      </c>
      <c r="K2" t="s">
        <v>284</v>
      </c>
      <c r="L2" t="s">
        <v>285</v>
      </c>
      <c r="M2" t="s">
        <v>285</v>
      </c>
      <c r="N2" t="s">
        <v>286</v>
      </c>
      <c r="O2" t="s">
        <v>132</v>
      </c>
      <c r="P2" t="s">
        <v>77</v>
      </c>
      <c r="Q2" t="s">
        <v>78</v>
      </c>
      <c r="R2" t="s">
        <v>143</v>
      </c>
      <c r="S2" t="s">
        <v>79</v>
      </c>
      <c r="T2">
        <v>43201</v>
      </c>
      <c r="U2" t="s">
        <v>129</v>
      </c>
      <c r="V2">
        <v>51201</v>
      </c>
      <c r="W2" t="s">
        <v>81</v>
      </c>
      <c r="X2">
        <v>240412675</v>
      </c>
      <c r="Y2" t="s">
        <v>74</v>
      </c>
      <c r="Z2">
        <v>0</v>
      </c>
      <c r="AA2" t="s">
        <v>123</v>
      </c>
      <c r="AB2">
        <v>193.73</v>
      </c>
      <c r="AC2">
        <v>0</v>
      </c>
      <c r="AD2">
        <v>0</v>
      </c>
      <c r="AE2">
        <v>193.73</v>
      </c>
      <c r="AF2">
        <v>-193.73</v>
      </c>
      <c r="AG2">
        <v>0</v>
      </c>
      <c r="AH2">
        <v>0</v>
      </c>
      <c r="AI2">
        <v>193.73</v>
      </c>
      <c r="AJ2">
        <v>-193.73</v>
      </c>
      <c r="AK2">
        <v>0</v>
      </c>
      <c r="AL2">
        <v>-193.73</v>
      </c>
      <c r="AM2">
        <v>861</v>
      </c>
      <c r="AN2">
        <v>0</v>
      </c>
      <c r="AO2">
        <v>0</v>
      </c>
      <c r="AP2">
        <v>0</v>
      </c>
      <c r="AQ2">
        <v>0</v>
      </c>
    </row>
    <row r="3" spans="1:43" x14ac:dyDescent="0.25">
      <c r="A3">
        <v>2</v>
      </c>
      <c r="B3" t="s">
        <v>71</v>
      </c>
      <c r="C3" t="s">
        <v>72</v>
      </c>
      <c r="D3" t="s">
        <v>73</v>
      </c>
      <c r="E3" t="s">
        <v>74</v>
      </c>
      <c r="F3">
        <v>240412675</v>
      </c>
      <c r="G3">
        <v>6567523</v>
      </c>
      <c r="H3" t="s">
        <v>75</v>
      </c>
      <c r="I3" t="s">
        <v>76</v>
      </c>
      <c r="J3" t="s">
        <v>75</v>
      </c>
      <c r="K3" t="s">
        <v>284</v>
      </c>
      <c r="L3" t="s">
        <v>285</v>
      </c>
      <c r="M3" t="s">
        <v>285</v>
      </c>
      <c r="N3" t="s">
        <v>286</v>
      </c>
      <c r="O3" t="s">
        <v>132</v>
      </c>
      <c r="P3" t="s">
        <v>77</v>
      </c>
      <c r="Q3" t="s">
        <v>157</v>
      </c>
      <c r="R3" t="s">
        <v>158</v>
      </c>
      <c r="S3" t="s">
        <v>105</v>
      </c>
      <c r="T3">
        <v>41201</v>
      </c>
      <c r="U3" t="s">
        <v>85</v>
      </c>
      <c r="V3">
        <v>51201</v>
      </c>
      <c r="W3" t="s">
        <v>81</v>
      </c>
      <c r="X3">
        <v>240412675</v>
      </c>
      <c r="Y3" t="s">
        <v>74</v>
      </c>
      <c r="Z3">
        <v>2</v>
      </c>
      <c r="AA3" t="s">
        <v>123</v>
      </c>
      <c r="AB3">
        <v>142.5</v>
      </c>
      <c r="AC3">
        <v>0</v>
      </c>
      <c r="AD3">
        <v>0</v>
      </c>
      <c r="AE3">
        <v>142.5</v>
      </c>
      <c r="AF3">
        <v>285</v>
      </c>
      <c r="AG3">
        <v>58.34</v>
      </c>
      <c r="AH3">
        <v>116.68</v>
      </c>
      <c r="AI3">
        <v>84.16</v>
      </c>
      <c r="AJ3">
        <v>168.32</v>
      </c>
      <c r="AK3">
        <v>59.06</v>
      </c>
      <c r="AL3">
        <v>-193.73</v>
      </c>
      <c r="AM3">
        <v>861</v>
      </c>
      <c r="AN3">
        <v>-64.13</v>
      </c>
      <c r="AO3">
        <v>52.094999999999999</v>
      </c>
      <c r="AP3">
        <v>104.19</v>
      </c>
      <c r="AQ3">
        <v>47.172544000000002</v>
      </c>
    </row>
    <row r="4" spans="1:43" x14ac:dyDescent="0.25">
      <c r="A4">
        <v>3</v>
      </c>
      <c r="B4" t="s">
        <v>71</v>
      </c>
      <c r="C4" t="s">
        <v>72</v>
      </c>
      <c r="D4" t="s">
        <v>73</v>
      </c>
      <c r="E4" t="s">
        <v>74</v>
      </c>
      <c r="F4">
        <v>240412675</v>
      </c>
      <c r="G4">
        <v>6567523</v>
      </c>
      <c r="H4" t="s">
        <v>75</v>
      </c>
      <c r="I4" t="s">
        <v>76</v>
      </c>
      <c r="J4" t="s">
        <v>75</v>
      </c>
      <c r="K4" t="s">
        <v>284</v>
      </c>
      <c r="L4" t="s">
        <v>285</v>
      </c>
      <c r="M4" t="s">
        <v>285</v>
      </c>
      <c r="N4" t="s">
        <v>286</v>
      </c>
      <c r="O4" t="s">
        <v>132</v>
      </c>
      <c r="P4" t="s">
        <v>77</v>
      </c>
      <c r="Q4" t="s">
        <v>159</v>
      </c>
      <c r="R4" t="s">
        <v>160</v>
      </c>
      <c r="S4" t="s">
        <v>105</v>
      </c>
      <c r="T4">
        <v>41201</v>
      </c>
      <c r="U4" t="s">
        <v>85</v>
      </c>
      <c r="V4">
        <v>51201</v>
      </c>
      <c r="W4" t="s">
        <v>81</v>
      </c>
      <c r="X4">
        <v>240412675</v>
      </c>
      <c r="Y4" t="s">
        <v>74</v>
      </c>
      <c r="Z4">
        <v>2</v>
      </c>
      <c r="AA4" t="s">
        <v>123</v>
      </c>
      <c r="AB4">
        <v>143</v>
      </c>
      <c r="AC4">
        <v>0</v>
      </c>
      <c r="AD4">
        <v>0</v>
      </c>
      <c r="AE4">
        <v>143</v>
      </c>
      <c r="AF4">
        <v>286</v>
      </c>
      <c r="AG4">
        <v>58.35</v>
      </c>
      <c r="AH4">
        <v>116.69</v>
      </c>
      <c r="AI4">
        <v>84.66</v>
      </c>
      <c r="AJ4">
        <v>169.31</v>
      </c>
      <c r="AK4">
        <v>59.2</v>
      </c>
      <c r="AL4">
        <v>-193.73</v>
      </c>
      <c r="AM4">
        <v>861</v>
      </c>
      <c r="AN4">
        <v>-64.349999999999994</v>
      </c>
      <c r="AO4">
        <v>52.48</v>
      </c>
      <c r="AP4">
        <v>104.96</v>
      </c>
      <c r="AQ4">
        <v>47.353935999999997</v>
      </c>
    </row>
    <row r="5" spans="1:43" x14ac:dyDescent="0.25">
      <c r="A5">
        <v>4</v>
      </c>
      <c r="B5" t="s">
        <v>71</v>
      </c>
      <c r="C5" t="s">
        <v>72</v>
      </c>
      <c r="D5" t="s">
        <v>73</v>
      </c>
      <c r="E5" t="s">
        <v>74</v>
      </c>
      <c r="F5">
        <v>240412675</v>
      </c>
      <c r="G5">
        <v>6567523</v>
      </c>
      <c r="H5" t="s">
        <v>75</v>
      </c>
      <c r="I5" t="s">
        <v>76</v>
      </c>
      <c r="J5" t="s">
        <v>75</v>
      </c>
      <c r="K5" t="s">
        <v>284</v>
      </c>
      <c r="L5" t="s">
        <v>285</v>
      </c>
      <c r="M5" t="s">
        <v>285</v>
      </c>
      <c r="N5" t="s">
        <v>286</v>
      </c>
      <c r="O5" t="s">
        <v>132</v>
      </c>
      <c r="P5" t="s">
        <v>77</v>
      </c>
      <c r="Q5" t="s">
        <v>163</v>
      </c>
      <c r="R5" t="s">
        <v>164</v>
      </c>
      <c r="S5" t="s">
        <v>105</v>
      </c>
      <c r="T5">
        <v>41201</v>
      </c>
      <c r="U5" t="s">
        <v>85</v>
      </c>
      <c r="V5">
        <v>51201</v>
      </c>
      <c r="W5" t="s">
        <v>81</v>
      </c>
      <c r="X5">
        <v>240412675</v>
      </c>
      <c r="Y5" t="s">
        <v>74</v>
      </c>
      <c r="Z5">
        <v>2</v>
      </c>
      <c r="AA5" t="s">
        <v>123</v>
      </c>
      <c r="AB5">
        <v>145</v>
      </c>
      <c r="AC5">
        <v>0</v>
      </c>
      <c r="AD5">
        <v>0</v>
      </c>
      <c r="AE5">
        <v>145</v>
      </c>
      <c r="AF5">
        <v>290</v>
      </c>
      <c r="AG5">
        <v>58.34</v>
      </c>
      <c r="AH5">
        <v>116.68</v>
      </c>
      <c r="AI5">
        <v>86.66</v>
      </c>
      <c r="AJ5">
        <v>173.32</v>
      </c>
      <c r="AK5">
        <v>59.77</v>
      </c>
      <c r="AL5">
        <v>-193.73</v>
      </c>
      <c r="AM5">
        <v>861</v>
      </c>
      <c r="AN5">
        <v>-65.25</v>
      </c>
      <c r="AO5">
        <v>54.034999999999997</v>
      </c>
      <c r="AP5">
        <v>108.07</v>
      </c>
      <c r="AQ5">
        <v>48.084538000000002</v>
      </c>
    </row>
    <row r="6" spans="1:43" x14ac:dyDescent="0.25">
      <c r="A6">
        <v>5</v>
      </c>
      <c r="B6" t="s">
        <v>71</v>
      </c>
      <c r="C6" t="s">
        <v>72</v>
      </c>
      <c r="D6" t="s">
        <v>73</v>
      </c>
      <c r="E6" t="s">
        <v>74</v>
      </c>
      <c r="F6">
        <v>240412760</v>
      </c>
      <c r="G6">
        <v>6567613</v>
      </c>
      <c r="H6" t="s">
        <v>75</v>
      </c>
      <c r="I6" t="s">
        <v>76</v>
      </c>
      <c r="J6" t="s">
        <v>75</v>
      </c>
      <c r="K6" t="s">
        <v>287</v>
      </c>
      <c r="L6" t="s">
        <v>285</v>
      </c>
      <c r="M6" t="s">
        <v>285</v>
      </c>
      <c r="N6" t="s">
        <v>286</v>
      </c>
      <c r="O6" t="s">
        <v>132</v>
      </c>
      <c r="P6" t="s">
        <v>77</v>
      </c>
      <c r="Q6" t="s">
        <v>78</v>
      </c>
      <c r="R6" t="s">
        <v>143</v>
      </c>
      <c r="S6" t="s">
        <v>79</v>
      </c>
      <c r="T6">
        <v>43201</v>
      </c>
      <c r="U6" t="s">
        <v>129</v>
      </c>
      <c r="V6">
        <v>51201</v>
      </c>
      <c r="W6" t="s">
        <v>81</v>
      </c>
      <c r="X6">
        <v>240412760</v>
      </c>
      <c r="Y6" t="s">
        <v>74</v>
      </c>
      <c r="Z6">
        <v>0</v>
      </c>
      <c r="AA6" t="s">
        <v>123</v>
      </c>
      <c r="AB6">
        <v>199.13</v>
      </c>
      <c r="AC6">
        <v>0</v>
      </c>
      <c r="AD6">
        <v>0</v>
      </c>
      <c r="AE6">
        <v>199.13</v>
      </c>
      <c r="AF6">
        <v>-199.13</v>
      </c>
      <c r="AG6">
        <v>0</v>
      </c>
      <c r="AH6">
        <v>0</v>
      </c>
      <c r="AI6">
        <v>199.13</v>
      </c>
      <c r="AJ6">
        <v>-199.13</v>
      </c>
      <c r="AK6">
        <v>0</v>
      </c>
      <c r="AL6">
        <v>-199.13</v>
      </c>
      <c r="AM6">
        <v>885</v>
      </c>
      <c r="AN6">
        <v>0</v>
      </c>
      <c r="AO6">
        <v>0</v>
      </c>
      <c r="AP6">
        <v>0</v>
      </c>
      <c r="AQ6">
        <v>0</v>
      </c>
    </row>
    <row r="7" spans="1:43" x14ac:dyDescent="0.25">
      <c r="A7">
        <v>6</v>
      </c>
      <c r="B7" t="s">
        <v>71</v>
      </c>
      <c r="C7" t="s">
        <v>72</v>
      </c>
      <c r="D7" t="s">
        <v>73</v>
      </c>
      <c r="E7" t="s">
        <v>74</v>
      </c>
      <c r="F7">
        <v>240412760</v>
      </c>
      <c r="G7">
        <v>6567613</v>
      </c>
      <c r="H7" t="s">
        <v>75</v>
      </c>
      <c r="I7" t="s">
        <v>76</v>
      </c>
      <c r="J7" t="s">
        <v>75</v>
      </c>
      <c r="K7" t="s">
        <v>287</v>
      </c>
      <c r="L7" t="s">
        <v>285</v>
      </c>
      <c r="M7" t="s">
        <v>285</v>
      </c>
      <c r="N7" t="s">
        <v>286</v>
      </c>
      <c r="O7" t="s">
        <v>132</v>
      </c>
      <c r="P7" t="s">
        <v>77</v>
      </c>
      <c r="Q7" t="s">
        <v>170</v>
      </c>
      <c r="R7" t="s">
        <v>171</v>
      </c>
      <c r="S7" t="s">
        <v>84</v>
      </c>
      <c r="T7">
        <v>41201</v>
      </c>
      <c r="U7" t="s">
        <v>85</v>
      </c>
      <c r="V7">
        <v>51201</v>
      </c>
      <c r="W7" t="s">
        <v>81</v>
      </c>
      <c r="X7">
        <v>240412760</v>
      </c>
      <c r="Y7" t="s">
        <v>74</v>
      </c>
      <c r="Z7">
        <v>2</v>
      </c>
      <c r="AA7" t="s">
        <v>123</v>
      </c>
      <c r="AB7">
        <v>202.5</v>
      </c>
      <c r="AC7">
        <v>0</v>
      </c>
      <c r="AD7">
        <v>0</v>
      </c>
      <c r="AE7">
        <v>202.5</v>
      </c>
      <c r="AF7">
        <v>405</v>
      </c>
      <c r="AG7">
        <v>85</v>
      </c>
      <c r="AH7">
        <v>170</v>
      </c>
      <c r="AI7">
        <v>117.5</v>
      </c>
      <c r="AJ7">
        <v>235</v>
      </c>
      <c r="AK7">
        <v>58.02</v>
      </c>
      <c r="AL7">
        <v>-199.13</v>
      </c>
      <c r="AM7">
        <v>885</v>
      </c>
      <c r="AN7">
        <v>-91.13</v>
      </c>
      <c r="AO7">
        <v>71.935000000000002</v>
      </c>
      <c r="AP7">
        <v>143.87</v>
      </c>
      <c r="AQ7">
        <v>45.837448000000002</v>
      </c>
    </row>
    <row r="8" spans="1:43" x14ac:dyDescent="0.25">
      <c r="A8">
        <v>7</v>
      </c>
      <c r="B8" t="s">
        <v>71</v>
      </c>
      <c r="C8" t="s">
        <v>72</v>
      </c>
      <c r="D8" t="s">
        <v>73</v>
      </c>
      <c r="E8" t="s">
        <v>74</v>
      </c>
      <c r="F8">
        <v>240412760</v>
      </c>
      <c r="G8">
        <v>6567613</v>
      </c>
      <c r="H8" t="s">
        <v>75</v>
      </c>
      <c r="I8" t="s">
        <v>76</v>
      </c>
      <c r="J8" t="s">
        <v>75</v>
      </c>
      <c r="K8" t="s">
        <v>287</v>
      </c>
      <c r="L8" t="s">
        <v>285</v>
      </c>
      <c r="M8" t="s">
        <v>285</v>
      </c>
      <c r="N8" t="s">
        <v>286</v>
      </c>
      <c r="O8" t="s">
        <v>132</v>
      </c>
      <c r="P8" t="s">
        <v>77</v>
      </c>
      <c r="Q8" t="s">
        <v>288</v>
      </c>
      <c r="R8" t="s">
        <v>289</v>
      </c>
      <c r="S8" t="s">
        <v>84</v>
      </c>
      <c r="T8">
        <v>41201</v>
      </c>
      <c r="U8" t="s">
        <v>85</v>
      </c>
      <c r="V8">
        <v>51201</v>
      </c>
      <c r="W8" t="s">
        <v>81</v>
      </c>
      <c r="X8">
        <v>240412760</v>
      </c>
      <c r="Y8" t="s">
        <v>74</v>
      </c>
      <c r="Z8">
        <v>1</v>
      </c>
      <c r="AA8" t="s">
        <v>123</v>
      </c>
      <c r="AB8">
        <v>480</v>
      </c>
      <c r="AC8">
        <v>0</v>
      </c>
      <c r="AD8">
        <v>0</v>
      </c>
      <c r="AE8">
        <v>480</v>
      </c>
      <c r="AF8">
        <v>480</v>
      </c>
      <c r="AG8">
        <v>210</v>
      </c>
      <c r="AH8">
        <v>210</v>
      </c>
      <c r="AI8">
        <v>270</v>
      </c>
      <c r="AJ8">
        <v>270</v>
      </c>
      <c r="AK8">
        <v>56.25</v>
      </c>
      <c r="AL8">
        <v>-199.13</v>
      </c>
      <c r="AM8">
        <v>885</v>
      </c>
      <c r="AN8">
        <v>-108</v>
      </c>
      <c r="AO8">
        <v>162</v>
      </c>
      <c r="AP8">
        <v>162</v>
      </c>
      <c r="AQ8">
        <v>43.548386999999998</v>
      </c>
    </row>
    <row r="9" spans="1:43" x14ac:dyDescent="0.25">
      <c r="A9">
        <v>8</v>
      </c>
      <c r="B9" t="s">
        <v>71</v>
      </c>
      <c r="C9" t="s">
        <v>72</v>
      </c>
      <c r="D9" t="s">
        <v>73</v>
      </c>
      <c r="E9" t="s">
        <v>74</v>
      </c>
      <c r="F9">
        <v>240412789</v>
      </c>
      <c r="G9">
        <v>6567642</v>
      </c>
      <c r="H9" t="s">
        <v>75</v>
      </c>
      <c r="I9" t="s">
        <v>76</v>
      </c>
      <c r="J9" t="s">
        <v>75</v>
      </c>
      <c r="K9" t="s">
        <v>290</v>
      </c>
      <c r="L9" t="s">
        <v>285</v>
      </c>
      <c r="M9" t="s">
        <v>285</v>
      </c>
      <c r="N9" t="s">
        <v>286</v>
      </c>
      <c r="O9" t="s">
        <v>130</v>
      </c>
      <c r="P9" t="s">
        <v>77</v>
      </c>
      <c r="Q9" t="s">
        <v>78</v>
      </c>
      <c r="R9" t="s">
        <v>143</v>
      </c>
      <c r="S9" t="s">
        <v>79</v>
      </c>
      <c r="T9">
        <v>43201</v>
      </c>
      <c r="U9" t="s">
        <v>129</v>
      </c>
      <c r="V9">
        <v>51201</v>
      </c>
      <c r="W9" t="s">
        <v>81</v>
      </c>
      <c r="X9">
        <v>240412789</v>
      </c>
      <c r="Y9" t="s">
        <v>74</v>
      </c>
      <c r="Z9">
        <v>0</v>
      </c>
      <c r="AA9" t="s">
        <v>147</v>
      </c>
      <c r="AB9">
        <v>15.3</v>
      </c>
      <c r="AC9">
        <v>-15.3</v>
      </c>
      <c r="AD9">
        <v>5.83</v>
      </c>
      <c r="AE9">
        <v>89.2</v>
      </c>
      <c r="AF9">
        <v>-89.2</v>
      </c>
      <c r="AG9">
        <v>0</v>
      </c>
      <c r="AH9">
        <v>0</v>
      </c>
      <c r="AI9">
        <v>89.2</v>
      </c>
      <c r="AJ9">
        <v>-89.2</v>
      </c>
      <c r="AK9">
        <v>0</v>
      </c>
      <c r="AL9">
        <v>-89.2</v>
      </c>
      <c r="AM9">
        <v>396.44</v>
      </c>
      <c r="AN9">
        <v>0</v>
      </c>
      <c r="AO9">
        <v>0</v>
      </c>
      <c r="AP9">
        <v>0</v>
      </c>
      <c r="AQ9">
        <v>0</v>
      </c>
    </row>
    <row r="10" spans="1:43" x14ac:dyDescent="0.25">
      <c r="A10">
        <v>9</v>
      </c>
      <c r="B10" t="s">
        <v>71</v>
      </c>
      <c r="C10" t="s">
        <v>72</v>
      </c>
      <c r="D10" t="s">
        <v>73</v>
      </c>
      <c r="E10" t="s">
        <v>74</v>
      </c>
      <c r="F10">
        <v>240412789</v>
      </c>
      <c r="G10">
        <v>6567642</v>
      </c>
      <c r="H10" t="s">
        <v>75</v>
      </c>
      <c r="I10" t="s">
        <v>76</v>
      </c>
      <c r="J10" t="s">
        <v>75</v>
      </c>
      <c r="K10" t="s">
        <v>290</v>
      </c>
      <c r="L10" t="s">
        <v>285</v>
      </c>
      <c r="M10" t="s">
        <v>285</v>
      </c>
      <c r="N10" t="s">
        <v>286</v>
      </c>
      <c r="O10" t="s">
        <v>130</v>
      </c>
      <c r="P10" t="s">
        <v>77</v>
      </c>
      <c r="Q10" t="s">
        <v>89</v>
      </c>
      <c r="R10" t="s">
        <v>90</v>
      </c>
      <c r="S10" t="s">
        <v>84</v>
      </c>
      <c r="T10">
        <v>41201</v>
      </c>
      <c r="U10" t="s">
        <v>85</v>
      </c>
      <c r="V10">
        <v>51201</v>
      </c>
      <c r="W10" t="s">
        <v>81</v>
      </c>
      <c r="X10">
        <v>240412789</v>
      </c>
      <c r="Y10" t="s">
        <v>74</v>
      </c>
      <c r="Z10">
        <v>1</v>
      </c>
      <c r="AA10" t="s">
        <v>147</v>
      </c>
      <c r="AB10">
        <v>41.48</v>
      </c>
      <c r="AC10">
        <v>41.48</v>
      </c>
      <c r="AD10">
        <v>5.83</v>
      </c>
      <c r="AE10">
        <v>241.83</v>
      </c>
      <c r="AF10">
        <v>241.83</v>
      </c>
      <c r="AG10">
        <v>78</v>
      </c>
      <c r="AH10">
        <v>78</v>
      </c>
      <c r="AI10">
        <v>163.83000000000001</v>
      </c>
      <c r="AJ10">
        <v>163.83000000000001</v>
      </c>
      <c r="AK10">
        <v>67.75</v>
      </c>
      <c r="AL10">
        <v>-89.2</v>
      </c>
      <c r="AM10">
        <v>396.44</v>
      </c>
      <c r="AN10">
        <v>-54.41</v>
      </c>
      <c r="AO10">
        <v>109.42</v>
      </c>
      <c r="AP10">
        <v>109.42</v>
      </c>
      <c r="AQ10">
        <v>58.382243000000003</v>
      </c>
    </row>
    <row r="11" spans="1:43" x14ac:dyDescent="0.25">
      <c r="A11">
        <v>10</v>
      </c>
      <c r="B11" t="s">
        <v>71</v>
      </c>
      <c r="C11" t="s">
        <v>72</v>
      </c>
      <c r="D11" t="s">
        <v>73</v>
      </c>
      <c r="E11" t="s">
        <v>74</v>
      </c>
      <c r="F11">
        <v>240412789</v>
      </c>
      <c r="G11">
        <v>6567642</v>
      </c>
      <c r="H11" t="s">
        <v>75</v>
      </c>
      <c r="I11" t="s">
        <v>76</v>
      </c>
      <c r="J11" t="s">
        <v>75</v>
      </c>
      <c r="K11" t="s">
        <v>290</v>
      </c>
      <c r="L11" t="s">
        <v>285</v>
      </c>
      <c r="M11" t="s">
        <v>285</v>
      </c>
      <c r="N11" t="s">
        <v>286</v>
      </c>
      <c r="O11" t="s">
        <v>130</v>
      </c>
      <c r="P11" t="s">
        <v>77</v>
      </c>
      <c r="Q11" t="s">
        <v>82</v>
      </c>
      <c r="R11" t="s">
        <v>83</v>
      </c>
      <c r="S11" t="s">
        <v>84</v>
      </c>
      <c r="T11">
        <v>41201</v>
      </c>
      <c r="U11" t="s">
        <v>85</v>
      </c>
      <c r="V11">
        <v>51201</v>
      </c>
      <c r="W11" t="s">
        <v>81</v>
      </c>
      <c r="X11">
        <v>240412789</v>
      </c>
      <c r="Y11" t="s">
        <v>74</v>
      </c>
      <c r="Z11">
        <v>1</v>
      </c>
      <c r="AA11" t="s">
        <v>147</v>
      </c>
      <c r="AB11">
        <v>8.84</v>
      </c>
      <c r="AC11">
        <v>8.84</v>
      </c>
      <c r="AD11">
        <v>5.83</v>
      </c>
      <c r="AE11">
        <v>51.54</v>
      </c>
      <c r="AF11">
        <v>51.54</v>
      </c>
      <c r="AG11">
        <v>20</v>
      </c>
      <c r="AH11">
        <v>20</v>
      </c>
      <c r="AI11">
        <v>31.54</v>
      </c>
      <c r="AJ11">
        <v>31.54</v>
      </c>
      <c r="AK11">
        <v>61.2</v>
      </c>
      <c r="AL11">
        <v>-89.2</v>
      </c>
      <c r="AM11">
        <v>396.44</v>
      </c>
      <c r="AN11">
        <v>-11.6</v>
      </c>
      <c r="AO11">
        <v>19.940000000000001</v>
      </c>
      <c r="AP11">
        <v>19.940000000000001</v>
      </c>
      <c r="AQ11">
        <v>49.924886999999998</v>
      </c>
    </row>
    <row r="12" spans="1:43" x14ac:dyDescent="0.25">
      <c r="A12">
        <v>11</v>
      </c>
      <c r="B12" t="s">
        <v>71</v>
      </c>
      <c r="C12" t="s">
        <v>72</v>
      </c>
      <c r="D12" t="s">
        <v>73</v>
      </c>
      <c r="E12" t="s">
        <v>74</v>
      </c>
      <c r="F12">
        <v>240412789</v>
      </c>
      <c r="G12">
        <v>6567642</v>
      </c>
      <c r="H12" t="s">
        <v>75</v>
      </c>
      <c r="I12" t="s">
        <v>76</v>
      </c>
      <c r="J12" t="s">
        <v>75</v>
      </c>
      <c r="K12" t="s">
        <v>290</v>
      </c>
      <c r="L12" t="s">
        <v>285</v>
      </c>
      <c r="M12" t="s">
        <v>285</v>
      </c>
      <c r="N12" t="s">
        <v>286</v>
      </c>
      <c r="O12" t="s">
        <v>130</v>
      </c>
      <c r="P12" t="s">
        <v>77</v>
      </c>
      <c r="Q12" t="s">
        <v>107</v>
      </c>
      <c r="R12" t="s">
        <v>291</v>
      </c>
      <c r="S12" t="s">
        <v>84</v>
      </c>
      <c r="T12">
        <v>41201</v>
      </c>
      <c r="U12" t="s">
        <v>85</v>
      </c>
      <c r="V12">
        <v>51201</v>
      </c>
      <c r="W12" t="s">
        <v>81</v>
      </c>
      <c r="X12">
        <v>240412789</v>
      </c>
      <c r="Y12" t="s">
        <v>74</v>
      </c>
      <c r="Z12">
        <v>1</v>
      </c>
      <c r="AA12" t="s">
        <v>147</v>
      </c>
      <c r="AB12">
        <v>17.68</v>
      </c>
      <c r="AC12">
        <v>17.68</v>
      </c>
      <c r="AD12">
        <v>5.83</v>
      </c>
      <c r="AE12">
        <v>103.07</v>
      </c>
      <c r="AF12">
        <v>103.07</v>
      </c>
      <c r="AG12">
        <v>25</v>
      </c>
      <c r="AH12">
        <v>25</v>
      </c>
      <c r="AI12">
        <v>78.069999999999993</v>
      </c>
      <c r="AJ12">
        <v>78.069999999999993</v>
      </c>
      <c r="AK12">
        <v>75.739999999999995</v>
      </c>
      <c r="AL12">
        <v>-89.2</v>
      </c>
      <c r="AM12">
        <v>396.44</v>
      </c>
      <c r="AN12">
        <v>-23.19</v>
      </c>
      <c r="AO12">
        <v>54.88</v>
      </c>
      <c r="AP12">
        <v>54.88</v>
      </c>
      <c r="AQ12">
        <v>68.703053999999995</v>
      </c>
    </row>
    <row r="13" spans="1:43" x14ac:dyDescent="0.25">
      <c r="A13">
        <v>12</v>
      </c>
      <c r="B13" t="s">
        <v>71</v>
      </c>
      <c r="C13" t="s">
        <v>72</v>
      </c>
      <c r="D13" t="s">
        <v>73</v>
      </c>
      <c r="E13" t="s">
        <v>74</v>
      </c>
      <c r="F13">
        <v>240412868</v>
      </c>
      <c r="G13">
        <v>6567721</v>
      </c>
      <c r="H13" t="s">
        <v>75</v>
      </c>
      <c r="I13" t="s">
        <v>76</v>
      </c>
      <c r="J13" t="s">
        <v>75</v>
      </c>
      <c r="K13" t="s">
        <v>292</v>
      </c>
      <c r="L13" t="s">
        <v>285</v>
      </c>
      <c r="M13" t="s">
        <v>285</v>
      </c>
      <c r="N13" t="s">
        <v>286</v>
      </c>
      <c r="O13" t="s">
        <v>130</v>
      </c>
      <c r="P13" t="s">
        <v>77</v>
      </c>
      <c r="Q13" t="s">
        <v>172</v>
      </c>
      <c r="R13" t="s">
        <v>173</v>
      </c>
      <c r="S13" t="s">
        <v>84</v>
      </c>
      <c r="T13">
        <v>41201</v>
      </c>
      <c r="U13" t="s">
        <v>85</v>
      </c>
      <c r="V13">
        <v>51201</v>
      </c>
      <c r="W13" t="s">
        <v>81</v>
      </c>
      <c r="X13">
        <v>240412868</v>
      </c>
      <c r="Y13" t="s">
        <v>74</v>
      </c>
      <c r="Z13">
        <v>1</v>
      </c>
      <c r="AA13" t="s">
        <v>147</v>
      </c>
      <c r="AB13">
        <v>53</v>
      </c>
      <c r="AC13">
        <v>53</v>
      </c>
      <c r="AD13">
        <v>5.83</v>
      </c>
      <c r="AE13">
        <v>308.99</v>
      </c>
      <c r="AF13">
        <v>308.99</v>
      </c>
      <c r="AG13">
        <v>95.99</v>
      </c>
      <c r="AH13">
        <v>95.99</v>
      </c>
      <c r="AI13">
        <v>213</v>
      </c>
      <c r="AJ13">
        <v>213</v>
      </c>
      <c r="AK13">
        <v>68.930000000000007</v>
      </c>
      <c r="AL13">
        <v>-69.55</v>
      </c>
      <c r="AM13">
        <v>308.99</v>
      </c>
      <c r="AN13">
        <v>-69.55</v>
      </c>
      <c r="AO13">
        <v>143.44999999999999</v>
      </c>
      <c r="AP13">
        <v>143.44999999999999</v>
      </c>
      <c r="AQ13">
        <v>59.910623999999999</v>
      </c>
    </row>
    <row r="14" spans="1:43" x14ac:dyDescent="0.25">
      <c r="A14">
        <v>13</v>
      </c>
      <c r="B14" t="s">
        <v>71</v>
      </c>
      <c r="C14" t="s">
        <v>72</v>
      </c>
      <c r="D14" t="s">
        <v>73</v>
      </c>
      <c r="E14" t="s">
        <v>74</v>
      </c>
      <c r="F14">
        <v>240412868</v>
      </c>
      <c r="G14">
        <v>6567721</v>
      </c>
      <c r="H14" t="s">
        <v>75</v>
      </c>
      <c r="I14" t="s">
        <v>76</v>
      </c>
      <c r="J14" t="s">
        <v>75</v>
      </c>
      <c r="K14" t="s">
        <v>292</v>
      </c>
      <c r="L14" t="s">
        <v>285</v>
      </c>
      <c r="M14" t="s">
        <v>285</v>
      </c>
      <c r="N14" t="s">
        <v>286</v>
      </c>
      <c r="O14" t="s">
        <v>130</v>
      </c>
      <c r="P14" t="s">
        <v>77</v>
      </c>
      <c r="Q14" t="s">
        <v>78</v>
      </c>
      <c r="R14" t="s">
        <v>143</v>
      </c>
      <c r="S14" t="s">
        <v>79</v>
      </c>
      <c r="T14">
        <v>43201</v>
      </c>
      <c r="U14" t="s">
        <v>129</v>
      </c>
      <c r="V14">
        <v>51201</v>
      </c>
      <c r="W14" t="s">
        <v>81</v>
      </c>
      <c r="X14">
        <v>240412868</v>
      </c>
      <c r="Y14" t="s">
        <v>74</v>
      </c>
      <c r="Z14">
        <v>0</v>
      </c>
      <c r="AA14" t="s">
        <v>147</v>
      </c>
      <c r="AB14">
        <v>11.93</v>
      </c>
      <c r="AC14">
        <v>-11.93</v>
      </c>
      <c r="AD14">
        <v>5.83</v>
      </c>
      <c r="AE14">
        <v>69.55</v>
      </c>
      <c r="AF14">
        <v>-69.55</v>
      </c>
      <c r="AG14">
        <v>0</v>
      </c>
      <c r="AH14">
        <v>0</v>
      </c>
      <c r="AI14">
        <v>69.55</v>
      </c>
      <c r="AJ14">
        <v>-69.55</v>
      </c>
      <c r="AK14">
        <v>0</v>
      </c>
      <c r="AL14">
        <v>-69.55</v>
      </c>
      <c r="AM14">
        <v>308.99</v>
      </c>
      <c r="AN14">
        <v>0</v>
      </c>
      <c r="AO14">
        <v>0</v>
      </c>
      <c r="AP14">
        <v>0</v>
      </c>
      <c r="AQ14">
        <v>0</v>
      </c>
    </row>
    <row r="15" spans="1:43" x14ac:dyDescent="0.25">
      <c r="A15">
        <v>14</v>
      </c>
      <c r="B15" t="s">
        <v>71</v>
      </c>
      <c r="C15" t="s">
        <v>72</v>
      </c>
      <c r="D15" t="s">
        <v>73</v>
      </c>
      <c r="E15" t="s">
        <v>74</v>
      </c>
      <c r="F15">
        <v>240412960</v>
      </c>
      <c r="G15">
        <v>6567813</v>
      </c>
      <c r="H15" t="s">
        <v>75</v>
      </c>
      <c r="I15" t="s">
        <v>76</v>
      </c>
      <c r="J15" t="s">
        <v>75</v>
      </c>
      <c r="K15" t="s">
        <v>293</v>
      </c>
      <c r="L15" t="s">
        <v>285</v>
      </c>
      <c r="M15" t="s">
        <v>285</v>
      </c>
      <c r="N15" t="s">
        <v>286</v>
      </c>
      <c r="O15" t="s">
        <v>10</v>
      </c>
      <c r="P15" t="s">
        <v>77</v>
      </c>
      <c r="Q15" t="s">
        <v>118</v>
      </c>
      <c r="R15" t="s">
        <v>119</v>
      </c>
      <c r="S15" t="s">
        <v>105</v>
      </c>
      <c r="T15">
        <v>41201</v>
      </c>
      <c r="U15" t="s">
        <v>85</v>
      </c>
      <c r="V15">
        <v>51201</v>
      </c>
      <c r="W15" t="s">
        <v>81</v>
      </c>
      <c r="X15">
        <v>240412960</v>
      </c>
      <c r="Y15" t="s">
        <v>74</v>
      </c>
      <c r="Z15">
        <v>1</v>
      </c>
      <c r="AA15" t="s">
        <v>152</v>
      </c>
      <c r="AB15">
        <v>183.31</v>
      </c>
      <c r="AC15">
        <v>183.31</v>
      </c>
      <c r="AD15">
        <v>1.76</v>
      </c>
      <c r="AE15">
        <v>322.63</v>
      </c>
      <c r="AF15">
        <v>322.63</v>
      </c>
      <c r="AG15">
        <v>138.84</v>
      </c>
      <c r="AH15">
        <v>138.84</v>
      </c>
      <c r="AI15">
        <v>183.79</v>
      </c>
      <c r="AJ15">
        <v>183.79</v>
      </c>
      <c r="AK15">
        <v>56.97</v>
      </c>
      <c r="AL15">
        <v>0</v>
      </c>
      <c r="AM15">
        <v>505.3</v>
      </c>
      <c r="AN15">
        <v>0</v>
      </c>
      <c r="AO15">
        <v>183.79</v>
      </c>
      <c r="AP15">
        <v>183.79</v>
      </c>
      <c r="AQ15">
        <v>56.966183999999998</v>
      </c>
    </row>
    <row r="16" spans="1:43" x14ac:dyDescent="0.25">
      <c r="A16">
        <v>15</v>
      </c>
      <c r="B16" t="s">
        <v>71</v>
      </c>
      <c r="C16" t="s">
        <v>72</v>
      </c>
      <c r="D16" t="s">
        <v>73</v>
      </c>
      <c r="E16" t="s">
        <v>74</v>
      </c>
      <c r="F16">
        <v>240412960</v>
      </c>
      <c r="G16">
        <v>6567813</v>
      </c>
      <c r="H16" t="s">
        <v>75</v>
      </c>
      <c r="I16" t="s">
        <v>76</v>
      </c>
      <c r="J16" t="s">
        <v>75</v>
      </c>
      <c r="K16" t="s">
        <v>293</v>
      </c>
      <c r="L16" t="s">
        <v>285</v>
      </c>
      <c r="M16" t="s">
        <v>285</v>
      </c>
      <c r="N16" t="s">
        <v>286</v>
      </c>
      <c r="O16" t="s">
        <v>10</v>
      </c>
      <c r="P16" t="s">
        <v>77</v>
      </c>
      <c r="Q16" t="s">
        <v>115</v>
      </c>
      <c r="R16" t="s">
        <v>116</v>
      </c>
      <c r="S16" t="s">
        <v>105</v>
      </c>
      <c r="T16">
        <v>41201</v>
      </c>
      <c r="U16" t="s">
        <v>85</v>
      </c>
      <c r="V16">
        <v>51201</v>
      </c>
      <c r="W16" t="s">
        <v>81</v>
      </c>
      <c r="X16">
        <v>240412960</v>
      </c>
      <c r="Y16" t="s">
        <v>74</v>
      </c>
      <c r="Z16">
        <v>1</v>
      </c>
      <c r="AA16" t="s">
        <v>152</v>
      </c>
      <c r="AB16">
        <v>103.79</v>
      </c>
      <c r="AC16">
        <v>103.79</v>
      </c>
      <c r="AD16">
        <v>1.76</v>
      </c>
      <c r="AE16">
        <v>182.67</v>
      </c>
      <c r="AF16">
        <v>182.67</v>
      </c>
      <c r="AG16">
        <v>80.849999999999994</v>
      </c>
      <c r="AH16">
        <v>80.849999999999994</v>
      </c>
      <c r="AI16">
        <v>101.82</v>
      </c>
      <c r="AJ16">
        <v>101.82</v>
      </c>
      <c r="AK16">
        <v>55.74</v>
      </c>
      <c r="AL16">
        <v>0</v>
      </c>
      <c r="AM16">
        <v>505.3</v>
      </c>
      <c r="AN16">
        <v>0</v>
      </c>
      <c r="AO16">
        <v>101.82</v>
      </c>
      <c r="AP16">
        <v>101.82</v>
      </c>
      <c r="AQ16">
        <v>55.739857999999998</v>
      </c>
    </row>
    <row r="17" spans="1:43" x14ac:dyDescent="0.25">
      <c r="A17">
        <v>16</v>
      </c>
      <c r="B17" t="s">
        <v>71</v>
      </c>
      <c r="C17" t="s">
        <v>72</v>
      </c>
      <c r="D17" t="s">
        <v>73</v>
      </c>
      <c r="E17" t="s">
        <v>74</v>
      </c>
      <c r="F17">
        <v>240412969</v>
      </c>
      <c r="G17">
        <v>6567822</v>
      </c>
      <c r="H17" t="s">
        <v>75</v>
      </c>
      <c r="I17" t="s">
        <v>76</v>
      </c>
      <c r="J17" t="s">
        <v>75</v>
      </c>
      <c r="K17" t="s">
        <v>294</v>
      </c>
      <c r="L17" t="s">
        <v>285</v>
      </c>
      <c r="M17" t="s">
        <v>285</v>
      </c>
      <c r="N17" t="s">
        <v>286</v>
      </c>
      <c r="O17" t="s">
        <v>10</v>
      </c>
      <c r="P17" t="s">
        <v>77</v>
      </c>
      <c r="Q17" t="s">
        <v>247</v>
      </c>
      <c r="R17" t="s">
        <v>248</v>
      </c>
      <c r="S17" t="s">
        <v>84</v>
      </c>
      <c r="T17">
        <v>41201</v>
      </c>
      <c r="U17" t="s">
        <v>85</v>
      </c>
      <c r="V17">
        <v>51201</v>
      </c>
      <c r="W17" t="s">
        <v>81</v>
      </c>
      <c r="X17">
        <v>240412969</v>
      </c>
      <c r="Y17" t="s">
        <v>74</v>
      </c>
      <c r="Z17">
        <v>1</v>
      </c>
      <c r="AA17" t="s">
        <v>152</v>
      </c>
      <c r="AB17">
        <v>121.4</v>
      </c>
      <c r="AC17">
        <v>121.4</v>
      </c>
      <c r="AD17">
        <v>1.76</v>
      </c>
      <c r="AE17">
        <v>213.66</v>
      </c>
      <c r="AF17">
        <v>213.66</v>
      </c>
      <c r="AG17">
        <v>92.84</v>
      </c>
      <c r="AH17">
        <v>92.84</v>
      </c>
      <c r="AI17">
        <v>120.82</v>
      </c>
      <c r="AJ17">
        <v>120.82</v>
      </c>
      <c r="AK17">
        <v>56.55</v>
      </c>
      <c r="AL17">
        <v>0</v>
      </c>
      <c r="AM17">
        <v>213.66</v>
      </c>
      <c r="AN17">
        <v>0</v>
      </c>
      <c r="AO17">
        <v>120.82</v>
      </c>
      <c r="AP17">
        <v>120.82</v>
      </c>
      <c r="AQ17">
        <v>56.547786000000002</v>
      </c>
    </row>
    <row r="18" spans="1:43" x14ac:dyDescent="0.25">
      <c r="A18">
        <v>17</v>
      </c>
      <c r="B18" t="s">
        <v>71</v>
      </c>
      <c r="C18" t="s">
        <v>72</v>
      </c>
      <c r="D18" t="s">
        <v>73</v>
      </c>
      <c r="E18" t="s">
        <v>74</v>
      </c>
      <c r="F18">
        <v>240412972</v>
      </c>
      <c r="G18">
        <v>6567825</v>
      </c>
      <c r="H18" t="s">
        <v>75</v>
      </c>
      <c r="I18" t="s">
        <v>76</v>
      </c>
      <c r="J18" t="s">
        <v>75</v>
      </c>
      <c r="K18" t="s">
        <v>295</v>
      </c>
      <c r="L18" t="s">
        <v>285</v>
      </c>
      <c r="M18" t="s">
        <v>285</v>
      </c>
      <c r="N18" t="s">
        <v>286</v>
      </c>
      <c r="O18" t="s">
        <v>10</v>
      </c>
      <c r="P18" t="s">
        <v>77</v>
      </c>
      <c r="Q18" t="s">
        <v>78</v>
      </c>
      <c r="R18" t="s">
        <v>143</v>
      </c>
      <c r="S18" t="s">
        <v>79</v>
      </c>
      <c r="T18">
        <v>43201</v>
      </c>
      <c r="U18" t="s">
        <v>129</v>
      </c>
      <c r="V18">
        <v>51201</v>
      </c>
      <c r="W18" t="s">
        <v>81</v>
      </c>
      <c r="X18">
        <v>240412972</v>
      </c>
      <c r="Y18" t="s">
        <v>74</v>
      </c>
      <c r="Z18">
        <v>0</v>
      </c>
      <c r="AA18" t="s">
        <v>152</v>
      </c>
      <c r="AB18">
        <v>129.44</v>
      </c>
      <c r="AC18">
        <v>-129.44</v>
      </c>
      <c r="AD18">
        <v>1.76</v>
      </c>
      <c r="AE18">
        <v>227.81</v>
      </c>
      <c r="AF18">
        <v>-227.81</v>
      </c>
      <c r="AG18">
        <v>0</v>
      </c>
      <c r="AH18">
        <v>0</v>
      </c>
      <c r="AI18">
        <v>227.81</v>
      </c>
      <c r="AJ18">
        <v>-227.81</v>
      </c>
      <c r="AK18">
        <v>0</v>
      </c>
      <c r="AL18">
        <v>-227.81</v>
      </c>
      <c r="AM18">
        <v>1265.6199999999999</v>
      </c>
      <c r="AN18">
        <v>0</v>
      </c>
      <c r="AO18">
        <v>0</v>
      </c>
      <c r="AP18">
        <v>0</v>
      </c>
      <c r="AQ18">
        <v>0</v>
      </c>
    </row>
    <row r="19" spans="1:43" x14ac:dyDescent="0.25">
      <c r="A19">
        <v>18</v>
      </c>
      <c r="B19" t="s">
        <v>71</v>
      </c>
      <c r="C19" t="s">
        <v>72</v>
      </c>
      <c r="D19" t="s">
        <v>73</v>
      </c>
      <c r="E19" t="s">
        <v>74</v>
      </c>
      <c r="F19">
        <v>240412972</v>
      </c>
      <c r="G19">
        <v>6567825</v>
      </c>
      <c r="H19" t="s">
        <v>75</v>
      </c>
      <c r="I19" t="s">
        <v>76</v>
      </c>
      <c r="J19" t="s">
        <v>75</v>
      </c>
      <c r="K19" t="s">
        <v>295</v>
      </c>
      <c r="L19" t="s">
        <v>285</v>
      </c>
      <c r="M19" t="s">
        <v>285</v>
      </c>
      <c r="N19" t="s">
        <v>286</v>
      </c>
      <c r="O19" t="s">
        <v>10</v>
      </c>
      <c r="P19" t="s">
        <v>77</v>
      </c>
      <c r="Q19" t="s">
        <v>296</v>
      </c>
      <c r="R19" t="s">
        <v>297</v>
      </c>
      <c r="S19" t="s">
        <v>84</v>
      </c>
      <c r="T19">
        <v>41201</v>
      </c>
      <c r="U19" t="s">
        <v>85</v>
      </c>
      <c r="V19">
        <v>51201</v>
      </c>
      <c r="W19" t="s">
        <v>81</v>
      </c>
      <c r="X19">
        <v>240412972</v>
      </c>
      <c r="Y19" t="s">
        <v>74</v>
      </c>
      <c r="Z19">
        <v>1</v>
      </c>
      <c r="AA19" t="s">
        <v>152</v>
      </c>
      <c r="AB19">
        <v>719.1</v>
      </c>
      <c r="AC19">
        <v>719.1</v>
      </c>
      <c r="AD19">
        <v>1.76</v>
      </c>
      <c r="AE19">
        <v>1265.6199999999999</v>
      </c>
      <c r="AF19">
        <v>1265.6199999999999</v>
      </c>
      <c r="AG19">
        <v>670</v>
      </c>
      <c r="AH19">
        <v>670</v>
      </c>
      <c r="AI19">
        <v>595.62</v>
      </c>
      <c r="AJ19">
        <v>595.62</v>
      </c>
      <c r="AK19">
        <v>47.06</v>
      </c>
      <c r="AL19">
        <v>-227.81</v>
      </c>
      <c r="AM19">
        <v>1265.6199999999999</v>
      </c>
      <c r="AN19">
        <v>-227.81</v>
      </c>
      <c r="AO19">
        <v>367.81</v>
      </c>
      <c r="AP19">
        <v>367.81</v>
      </c>
      <c r="AQ19">
        <v>35.440975999999999</v>
      </c>
    </row>
    <row r="20" spans="1:43" x14ac:dyDescent="0.25">
      <c r="A20">
        <v>19</v>
      </c>
      <c r="B20" t="s">
        <v>71</v>
      </c>
      <c r="C20" t="s">
        <v>72</v>
      </c>
      <c r="D20" t="s">
        <v>73</v>
      </c>
      <c r="E20" t="s">
        <v>74</v>
      </c>
      <c r="F20">
        <v>240413064</v>
      </c>
      <c r="G20">
        <v>6567917</v>
      </c>
      <c r="H20" t="s">
        <v>75</v>
      </c>
      <c r="I20" t="s">
        <v>76</v>
      </c>
      <c r="J20" t="s">
        <v>75</v>
      </c>
      <c r="K20" t="s">
        <v>298</v>
      </c>
      <c r="L20" t="s">
        <v>285</v>
      </c>
      <c r="M20" t="s">
        <v>285</v>
      </c>
      <c r="N20" t="s">
        <v>286</v>
      </c>
      <c r="O20" t="s">
        <v>131</v>
      </c>
      <c r="P20" t="s">
        <v>77</v>
      </c>
      <c r="Q20" t="s">
        <v>216</v>
      </c>
      <c r="R20" t="s">
        <v>217</v>
      </c>
      <c r="S20" t="s">
        <v>105</v>
      </c>
      <c r="T20">
        <v>41201</v>
      </c>
      <c r="U20" t="s">
        <v>85</v>
      </c>
      <c r="V20">
        <v>51201</v>
      </c>
      <c r="W20" t="s">
        <v>81</v>
      </c>
      <c r="X20">
        <v>240413064</v>
      </c>
      <c r="Y20" t="s">
        <v>74</v>
      </c>
      <c r="Z20">
        <v>1</v>
      </c>
      <c r="AA20" t="s">
        <v>144</v>
      </c>
      <c r="AB20">
        <v>3080</v>
      </c>
      <c r="AC20">
        <v>3080</v>
      </c>
      <c r="AD20">
        <v>0.13300000000000001</v>
      </c>
      <c r="AE20">
        <v>409.64</v>
      </c>
      <c r="AF20">
        <v>409.64</v>
      </c>
      <c r="AG20">
        <v>190</v>
      </c>
      <c r="AH20">
        <v>190</v>
      </c>
      <c r="AI20">
        <v>219.64</v>
      </c>
      <c r="AJ20">
        <v>219.64</v>
      </c>
      <c r="AK20">
        <v>53.62</v>
      </c>
      <c r="AL20">
        <v>0</v>
      </c>
      <c r="AM20">
        <v>409.64</v>
      </c>
      <c r="AN20">
        <v>0</v>
      </c>
      <c r="AO20">
        <v>219.64</v>
      </c>
      <c r="AP20">
        <v>219.64</v>
      </c>
      <c r="AQ20">
        <v>53.617809999999999</v>
      </c>
    </row>
    <row r="21" spans="1:43" x14ac:dyDescent="0.25">
      <c r="A21">
        <v>20</v>
      </c>
      <c r="B21" t="s">
        <v>71</v>
      </c>
      <c r="C21" t="s">
        <v>72</v>
      </c>
      <c r="D21" t="s">
        <v>73</v>
      </c>
      <c r="E21" t="s">
        <v>74</v>
      </c>
      <c r="F21">
        <v>240413075</v>
      </c>
      <c r="G21">
        <v>6567928</v>
      </c>
      <c r="H21" t="s">
        <v>75</v>
      </c>
      <c r="I21" t="s">
        <v>76</v>
      </c>
      <c r="J21" t="s">
        <v>75</v>
      </c>
      <c r="K21" t="s">
        <v>299</v>
      </c>
      <c r="L21" t="s">
        <v>285</v>
      </c>
      <c r="M21" t="s">
        <v>285</v>
      </c>
      <c r="N21" t="s">
        <v>286</v>
      </c>
      <c r="O21" t="s">
        <v>10</v>
      </c>
      <c r="P21" t="s">
        <v>77</v>
      </c>
      <c r="Q21" t="s">
        <v>78</v>
      </c>
      <c r="R21" t="s">
        <v>143</v>
      </c>
      <c r="S21" t="s">
        <v>79</v>
      </c>
      <c r="T21">
        <v>43201</v>
      </c>
      <c r="U21" t="s">
        <v>129</v>
      </c>
      <c r="V21">
        <v>51201</v>
      </c>
      <c r="W21" t="s">
        <v>81</v>
      </c>
      <c r="X21">
        <v>240413075</v>
      </c>
      <c r="Y21" t="s">
        <v>74</v>
      </c>
      <c r="Z21">
        <v>0</v>
      </c>
      <c r="AA21" t="s">
        <v>152</v>
      </c>
      <c r="AB21">
        <v>62.37</v>
      </c>
      <c r="AC21">
        <v>-62.37</v>
      </c>
      <c r="AD21">
        <v>1.76</v>
      </c>
      <c r="AE21">
        <v>109.77</v>
      </c>
      <c r="AF21">
        <v>-109.77</v>
      </c>
      <c r="AG21">
        <v>0</v>
      </c>
      <c r="AH21">
        <v>0</v>
      </c>
      <c r="AI21">
        <v>109.77</v>
      </c>
      <c r="AJ21">
        <v>-109.77</v>
      </c>
      <c r="AK21">
        <v>0</v>
      </c>
      <c r="AL21">
        <v>-109.77</v>
      </c>
      <c r="AM21">
        <v>609.84</v>
      </c>
      <c r="AN21">
        <v>0</v>
      </c>
      <c r="AO21">
        <v>0</v>
      </c>
      <c r="AP21">
        <v>0</v>
      </c>
      <c r="AQ21">
        <v>0</v>
      </c>
    </row>
    <row r="22" spans="1:43" x14ac:dyDescent="0.25">
      <c r="A22">
        <v>21</v>
      </c>
      <c r="B22" t="s">
        <v>71</v>
      </c>
      <c r="C22" t="s">
        <v>72</v>
      </c>
      <c r="D22" t="s">
        <v>73</v>
      </c>
      <c r="E22" t="s">
        <v>74</v>
      </c>
      <c r="F22">
        <v>240413075</v>
      </c>
      <c r="G22">
        <v>6567928</v>
      </c>
      <c r="H22" t="s">
        <v>75</v>
      </c>
      <c r="I22" t="s">
        <v>76</v>
      </c>
      <c r="J22" t="s">
        <v>75</v>
      </c>
      <c r="K22" t="s">
        <v>299</v>
      </c>
      <c r="L22" t="s">
        <v>285</v>
      </c>
      <c r="M22" t="s">
        <v>285</v>
      </c>
      <c r="N22" t="s">
        <v>286</v>
      </c>
      <c r="O22" t="s">
        <v>10</v>
      </c>
      <c r="P22" t="s">
        <v>77</v>
      </c>
      <c r="Q22" t="s">
        <v>168</v>
      </c>
      <c r="R22" t="s">
        <v>169</v>
      </c>
      <c r="S22" t="s">
        <v>84</v>
      </c>
      <c r="T22">
        <v>41201</v>
      </c>
      <c r="U22" t="s">
        <v>85</v>
      </c>
      <c r="V22">
        <v>51201</v>
      </c>
      <c r="W22" t="s">
        <v>81</v>
      </c>
      <c r="X22">
        <v>240413075</v>
      </c>
      <c r="Y22" t="s">
        <v>74</v>
      </c>
      <c r="Z22">
        <v>1</v>
      </c>
      <c r="AA22" t="s">
        <v>152</v>
      </c>
      <c r="AB22">
        <v>346.5</v>
      </c>
      <c r="AC22">
        <v>346.5</v>
      </c>
      <c r="AD22">
        <v>1.76</v>
      </c>
      <c r="AE22">
        <v>609.84</v>
      </c>
      <c r="AF22">
        <v>609.84</v>
      </c>
      <c r="AG22">
        <v>268</v>
      </c>
      <c r="AH22">
        <v>268</v>
      </c>
      <c r="AI22">
        <v>341.84</v>
      </c>
      <c r="AJ22">
        <v>341.84</v>
      </c>
      <c r="AK22">
        <v>56.05</v>
      </c>
      <c r="AL22">
        <v>-109.77</v>
      </c>
      <c r="AM22">
        <v>609.84</v>
      </c>
      <c r="AN22">
        <v>-109.77</v>
      </c>
      <c r="AO22">
        <v>232.07</v>
      </c>
      <c r="AP22">
        <v>232.07</v>
      </c>
      <c r="AQ22">
        <v>46.407502000000001</v>
      </c>
    </row>
    <row r="23" spans="1:43" x14ac:dyDescent="0.25">
      <c r="A23">
        <v>22</v>
      </c>
      <c r="B23" t="s">
        <v>71</v>
      </c>
      <c r="C23" t="s">
        <v>72</v>
      </c>
      <c r="D23" t="s">
        <v>73</v>
      </c>
      <c r="E23" t="s">
        <v>74</v>
      </c>
      <c r="F23">
        <v>240413144</v>
      </c>
      <c r="G23">
        <v>6567997</v>
      </c>
      <c r="H23" t="s">
        <v>75</v>
      </c>
      <c r="I23" t="s">
        <v>76</v>
      </c>
      <c r="J23" t="s">
        <v>75</v>
      </c>
      <c r="K23" t="s">
        <v>300</v>
      </c>
      <c r="L23" t="s">
        <v>285</v>
      </c>
      <c r="M23" t="s">
        <v>285</v>
      </c>
      <c r="N23" t="s">
        <v>286</v>
      </c>
      <c r="O23" t="s">
        <v>132</v>
      </c>
      <c r="P23" t="s">
        <v>77</v>
      </c>
      <c r="Q23" t="s">
        <v>78</v>
      </c>
      <c r="R23" t="s">
        <v>143</v>
      </c>
      <c r="S23" t="s">
        <v>79</v>
      </c>
      <c r="T23">
        <v>43201</v>
      </c>
      <c r="U23" t="s">
        <v>129</v>
      </c>
      <c r="V23">
        <v>51201</v>
      </c>
      <c r="W23" t="s">
        <v>81</v>
      </c>
      <c r="X23">
        <v>240413144</v>
      </c>
      <c r="Y23" t="s">
        <v>74</v>
      </c>
      <c r="Z23">
        <v>0</v>
      </c>
      <c r="AA23" t="s">
        <v>123</v>
      </c>
      <c r="AB23">
        <v>207</v>
      </c>
      <c r="AC23">
        <v>0</v>
      </c>
      <c r="AD23">
        <v>0</v>
      </c>
      <c r="AE23">
        <v>207</v>
      </c>
      <c r="AF23">
        <v>-207</v>
      </c>
      <c r="AG23">
        <v>0</v>
      </c>
      <c r="AH23">
        <v>0</v>
      </c>
      <c r="AI23">
        <v>207</v>
      </c>
      <c r="AJ23">
        <v>-207</v>
      </c>
      <c r="AK23">
        <v>0</v>
      </c>
      <c r="AL23">
        <v>-207</v>
      </c>
      <c r="AM23">
        <v>920</v>
      </c>
      <c r="AN23">
        <v>0</v>
      </c>
      <c r="AO23">
        <v>0</v>
      </c>
      <c r="AP23">
        <v>0</v>
      </c>
      <c r="AQ23">
        <v>0</v>
      </c>
    </row>
    <row r="24" spans="1:43" x14ac:dyDescent="0.25">
      <c r="A24">
        <v>23</v>
      </c>
      <c r="B24" t="s">
        <v>71</v>
      </c>
      <c r="C24" t="s">
        <v>72</v>
      </c>
      <c r="D24" t="s">
        <v>73</v>
      </c>
      <c r="E24" t="s">
        <v>74</v>
      </c>
      <c r="F24">
        <v>240413144</v>
      </c>
      <c r="G24">
        <v>6567997</v>
      </c>
      <c r="H24" t="s">
        <v>75</v>
      </c>
      <c r="I24" t="s">
        <v>76</v>
      </c>
      <c r="J24" t="s">
        <v>75</v>
      </c>
      <c r="K24" t="s">
        <v>300</v>
      </c>
      <c r="L24" t="s">
        <v>285</v>
      </c>
      <c r="M24" t="s">
        <v>285</v>
      </c>
      <c r="N24" t="s">
        <v>286</v>
      </c>
      <c r="O24" t="s">
        <v>132</v>
      </c>
      <c r="P24" t="s">
        <v>77</v>
      </c>
      <c r="Q24" t="s">
        <v>145</v>
      </c>
      <c r="R24" t="s">
        <v>146</v>
      </c>
      <c r="S24" t="s">
        <v>105</v>
      </c>
      <c r="T24">
        <v>41201</v>
      </c>
      <c r="U24" t="s">
        <v>85</v>
      </c>
      <c r="V24">
        <v>51201</v>
      </c>
      <c r="W24" t="s">
        <v>81</v>
      </c>
      <c r="X24">
        <v>240413144</v>
      </c>
      <c r="Y24" t="s">
        <v>74</v>
      </c>
      <c r="Z24">
        <v>2</v>
      </c>
      <c r="AA24" t="s">
        <v>123</v>
      </c>
      <c r="AB24">
        <v>460</v>
      </c>
      <c r="AC24">
        <v>0</v>
      </c>
      <c r="AD24">
        <v>0</v>
      </c>
      <c r="AE24">
        <v>460</v>
      </c>
      <c r="AF24">
        <v>920</v>
      </c>
      <c r="AG24">
        <v>200</v>
      </c>
      <c r="AH24">
        <v>400</v>
      </c>
      <c r="AI24">
        <v>260</v>
      </c>
      <c r="AJ24">
        <v>520</v>
      </c>
      <c r="AK24">
        <v>56.52</v>
      </c>
      <c r="AL24">
        <v>-207</v>
      </c>
      <c r="AM24">
        <v>920</v>
      </c>
      <c r="AN24">
        <v>-207</v>
      </c>
      <c r="AO24">
        <v>156.5</v>
      </c>
      <c r="AP24">
        <v>313</v>
      </c>
      <c r="AQ24">
        <v>43.899017999999998</v>
      </c>
    </row>
    <row r="25" spans="1:43" x14ac:dyDescent="0.25">
      <c r="A25">
        <v>24</v>
      </c>
      <c r="B25" t="s">
        <v>71</v>
      </c>
      <c r="C25" t="s">
        <v>72</v>
      </c>
      <c r="D25" t="s">
        <v>73</v>
      </c>
      <c r="E25" t="s">
        <v>74</v>
      </c>
      <c r="F25">
        <v>240413157</v>
      </c>
      <c r="G25">
        <v>6568010</v>
      </c>
      <c r="H25" t="s">
        <v>75</v>
      </c>
      <c r="I25" t="s">
        <v>76</v>
      </c>
      <c r="J25" t="s">
        <v>75</v>
      </c>
      <c r="K25" t="s">
        <v>301</v>
      </c>
      <c r="L25" t="s">
        <v>285</v>
      </c>
      <c r="M25" t="s">
        <v>285</v>
      </c>
      <c r="N25" t="s">
        <v>286</v>
      </c>
      <c r="O25" t="s">
        <v>10</v>
      </c>
      <c r="P25" t="s">
        <v>77</v>
      </c>
      <c r="Q25" t="s">
        <v>233</v>
      </c>
      <c r="R25" t="s">
        <v>234</v>
      </c>
      <c r="S25" t="s">
        <v>105</v>
      </c>
      <c r="T25">
        <v>41201</v>
      </c>
      <c r="U25" t="s">
        <v>85</v>
      </c>
      <c r="V25">
        <v>51201</v>
      </c>
      <c r="W25" t="s">
        <v>81</v>
      </c>
      <c r="X25">
        <v>240413157</v>
      </c>
      <c r="Y25" t="s">
        <v>74</v>
      </c>
      <c r="Z25">
        <v>1</v>
      </c>
      <c r="AA25" t="s">
        <v>152</v>
      </c>
      <c r="AB25">
        <v>163.4</v>
      </c>
      <c r="AC25">
        <v>163.4</v>
      </c>
      <c r="AD25">
        <v>1.76</v>
      </c>
      <c r="AE25">
        <v>287.58</v>
      </c>
      <c r="AF25">
        <v>287.58</v>
      </c>
      <c r="AG25">
        <v>91.16</v>
      </c>
      <c r="AH25">
        <v>91.16</v>
      </c>
      <c r="AI25">
        <v>196.42</v>
      </c>
      <c r="AJ25">
        <v>196.42</v>
      </c>
      <c r="AK25">
        <v>68.3</v>
      </c>
      <c r="AL25">
        <v>-51.76</v>
      </c>
      <c r="AM25">
        <v>287.58</v>
      </c>
      <c r="AN25">
        <v>-51.76</v>
      </c>
      <c r="AO25">
        <v>144.66</v>
      </c>
      <c r="AP25">
        <v>144.66</v>
      </c>
      <c r="AQ25">
        <v>61.343397000000003</v>
      </c>
    </row>
    <row r="26" spans="1:43" x14ac:dyDescent="0.25">
      <c r="A26">
        <v>25</v>
      </c>
      <c r="B26" t="s">
        <v>71</v>
      </c>
      <c r="C26" t="s">
        <v>72</v>
      </c>
      <c r="D26" t="s">
        <v>73</v>
      </c>
      <c r="E26" t="s">
        <v>74</v>
      </c>
      <c r="F26">
        <v>240413157</v>
      </c>
      <c r="G26">
        <v>6568010</v>
      </c>
      <c r="H26" t="s">
        <v>75</v>
      </c>
      <c r="I26" t="s">
        <v>76</v>
      </c>
      <c r="J26" t="s">
        <v>75</v>
      </c>
      <c r="K26" t="s">
        <v>301</v>
      </c>
      <c r="L26" t="s">
        <v>285</v>
      </c>
      <c r="M26" t="s">
        <v>285</v>
      </c>
      <c r="N26" t="s">
        <v>286</v>
      </c>
      <c r="O26" t="s">
        <v>10</v>
      </c>
      <c r="P26" t="s">
        <v>77</v>
      </c>
      <c r="Q26" t="s">
        <v>78</v>
      </c>
      <c r="R26" t="s">
        <v>143</v>
      </c>
      <c r="S26" t="s">
        <v>79</v>
      </c>
      <c r="T26">
        <v>43201</v>
      </c>
      <c r="U26" t="s">
        <v>129</v>
      </c>
      <c r="V26">
        <v>51201</v>
      </c>
      <c r="W26" t="s">
        <v>81</v>
      </c>
      <c r="X26">
        <v>240413157</v>
      </c>
      <c r="Y26" t="s">
        <v>74</v>
      </c>
      <c r="Z26">
        <v>0</v>
      </c>
      <c r="AA26" t="s">
        <v>152</v>
      </c>
      <c r="AB26">
        <v>29.41</v>
      </c>
      <c r="AC26">
        <v>-29.41</v>
      </c>
      <c r="AD26">
        <v>1.76</v>
      </c>
      <c r="AE26">
        <v>51.76</v>
      </c>
      <c r="AF26">
        <v>-51.76</v>
      </c>
      <c r="AG26">
        <v>0</v>
      </c>
      <c r="AH26">
        <v>0</v>
      </c>
      <c r="AI26">
        <v>51.76</v>
      </c>
      <c r="AJ26">
        <v>-51.76</v>
      </c>
      <c r="AK26">
        <v>0</v>
      </c>
      <c r="AL26">
        <v>-51.76</v>
      </c>
      <c r="AM26">
        <v>287.58</v>
      </c>
      <c r="AN26">
        <v>0</v>
      </c>
      <c r="AO26">
        <v>0</v>
      </c>
      <c r="AP26">
        <v>0</v>
      </c>
      <c r="AQ26">
        <v>0</v>
      </c>
    </row>
    <row r="27" spans="1:43" x14ac:dyDescent="0.25">
      <c r="A27">
        <v>26</v>
      </c>
      <c r="B27" t="s">
        <v>71</v>
      </c>
      <c r="C27" t="s">
        <v>72</v>
      </c>
      <c r="D27" t="s">
        <v>73</v>
      </c>
      <c r="E27" t="s">
        <v>74</v>
      </c>
      <c r="F27">
        <v>240413254</v>
      </c>
      <c r="G27">
        <v>6568107</v>
      </c>
      <c r="H27" t="s">
        <v>75</v>
      </c>
      <c r="I27" t="s">
        <v>76</v>
      </c>
      <c r="J27" t="s">
        <v>75</v>
      </c>
      <c r="K27" t="s">
        <v>302</v>
      </c>
      <c r="L27" t="s">
        <v>285</v>
      </c>
      <c r="M27" t="s">
        <v>285</v>
      </c>
      <c r="N27" t="s">
        <v>286</v>
      </c>
      <c r="O27" t="s">
        <v>132</v>
      </c>
      <c r="P27" t="s">
        <v>77</v>
      </c>
      <c r="Q27" t="s">
        <v>303</v>
      </c>
      <c r="R27" t="s">
        <v>304</v>
      </c>
      <c r="S27" t="s">
        <v>105</v>
      </c>
      <c r="T27">
        <v>41201</v>
      </c>
      <c r="U27" t="s">
        <v>85</v>
      </c>
      <c r="V27">
        <v>51201</v>
      </c>
      <c r="W27" t="s">
        <v>81</v>
      </c>
      <c r="X27">
        <v>240413254</v>
      </c>
      <c r="Y27" t="s">
        <v>74</v>
      </c>
      <c r="Z27">
        <v>1</v>
      </c>
      <c r="AA27" t="s">
        <v>123</v>
      </c>
      <c r="AB27">
        <v>272</v>
      </c>
      <c r="AC27">
        <v>0</v>
      </c>
      <c r="AD27">
        <v>0</v>
      </c>
      <c r="AE27">
        <v>272</v>
      </c>
      <c r="AF27">
        <v>272</v>
      </c>
      <c r="AG27">
        <v>91.16</v>
      </c>
      <c r="AH27">
        <v>91.16</v>
      </c>
      <c r="AI27">
        <v>180.84</v>
      </c>
      <c r="AJ27">
        <v>180.84</v>
      </c>
      <c r="AK27">
        <v>66.489999999999995</v>
      </c>
      <c r="AL27">
        <v>-61.2</v>
      </c>
      <c r="AM27">
        <v>272</v>
      </c>
      <c r="AN27">
        <v>-61.2</v>
      </c>
      <c r="AO27">
        <v>119.64</v>
      </c>
      <c r="AP27">
        <v>119.64</v>
      </c>
      <c r="AQ27">
        <v>56.755217999999999</v>
      </c>
    </row>
    <row r="28" spans="1:43" x14ac:dyDescent="0.25">
      <c r="A28">
        <v>27</v>
      </c>
      <c r="B28" t="s">
        <v>71</v>
      </c>
      <c r="C28" t="s">
        <v>72</v>
      </c>
      <c r="D28" t="s">
        <v>73</v>
      </c>
      <c r="E28" t="s">
        <v>74</v>
      </c>
      <c r="F28">
        <v>240413254</v>
      </c>
      <c r="G28">
        <v>6568107</v>
      </c>
      <c r="H28" t="s">
        <v>75</v>
      </c>
      <c r="I28" t="s">
        <v>76</v>
      </c>
      <c r="J28" t="s">
        <v>75</v>
      </c>
      <c r="K28" t="s">
        <v>302</v>
      </c>
      <c r="L28" t="s">
        <v>285</v>
      </c>
      <c r="M28" t="s">
        <v>285</v>
      </c>
      <c r="N28" t="s">
        <v>286</v>
      </c>
      <c r="O28" t="s">
        <v>132</v>
      </c>
      <c r="P28" t="s">
        <v>77</v>
      </c>
      <c r="Q28" t="s">
        <v>78</v>
      </c>
      <c r="R28" t="s">
        <v>143</v>
      </c>
      <c r="S28" t="s">
        <v>79</v>
      </c>
      <c r="T28">
        <v>43201</v>
      </c>
      <c r="U28" t="s">
        <v>129</v>
      </c>
      <c r="V28">
        <v>51201</v>
      </c>
      <c r="W28" t="s">
        <v>81</v>
      </c>
      <c r="X28">
        <v>240413254</v>
      </c>
      <c r="Y28" t="s">
        <v>74</v>
      </c>
      <c r="Z28">
        <v>0</v>
      </c>
      <c r="AA28" t="s">
        <v>123</v>
      </c>
      <c r="AB28">
        <v>61.2</v>
      </c>
      <c r="AC28">
        <v>0</v>
      </c>
      <c r="AD28">
        <v>0</v>
      </c>
      <c r="AE28">
        <v>61.2</v>
      </c>
      <c r="AF28">
        <v>-61.2</v>
      </c>
      <c r="AG28">
        <v>0</v>
      </c>
      <c r="AH28">
        <v>0</v>
      </c>
      <c r="AI28">
        <v>61.2</v>
      </c>
      <c r="AJ28">
        <v>-61.2</v>
      </c>
      <c r="AK28">
        <v>0</v>
      </c>
      <c r="AL28">
        <v>-61.2</v>
      </c>
      <c r="AM28">
        <v>272</v>
      </c>
      <c r="AN28">
        <v>0</v>
      </c>
      <c r="AO28">
        <v>0</v>
      </c>
      <c r="AP28">
        <v>0</v>
      </c>
      <c r="AQ28">
        <v>0</v>
      </c>
    </row>
    <row r="29" spans="1:43" x14ac:dyDescent="0.25">
      <c r="A29">
        <v>28</v>
      </c>
      <c r="B29" t="s">
        <v>71</v>
      </c>
      <c r="C29" t="s">
        <v>72</v>
      </c>
      <c r="D29" t="s">
        <v>73</v>
      </c>
      <c r="E29" t="s">
        <v>74</v>
      </c>
      <c r="F29">
        <v>240413360</v>
      </c>
      <c r="G29">
        <v>6568213</v>
      </c>
      <c r="H29" t="s">
        <v>75</v>
      </c>
      <c r="I29" t="s">
        <v>76</v>
      </c>
      <c r="J29" t="s">
        <v>75</v>
      </c>
      <c r="K29" t="s">
        <v>305</v>
      </c>
      <c r="L29" t="s">
        <v>285</v>
      </c>
      <c r="M29" t="s">
        <v>285</v>
      </c>
      <c r="N29" t="s">
        <v>286</v>
      </c>
      <c r="O29" t="s">
        <v>10</v>
      </c>
      <c r="P29" t="s">
        <v>77</v>
      </c>
      <c r="Q29" t="s">
        <v>78</v>
      </c>
      <c r="R29" t="s">
        <v>143</v>
      </c>
      <c r="S29" t="s">
        <v>79</v>
      </c>
      <c r="T29">
        <v>43201</v>
      </c>
      <c r="U29" t="s">
        <v>129</v>
      </c>
      <c r="V29">
        <v>51201</v>
      </c>
      <c r="W29" t="s">
        <v>81</v>
      </c>
      <c r="X29">
        <v>240413360</v>
      </c>
      <c r="Y29" t="s">
        <v>74</v>
      </c>
      <c r="Z29">
        <v>0</v>
      </c>
      <c r="AA29" t="s">
        <v>152</v>
      </c>
      <c r="AB29">
        <v>105.82</v>
      </c>
      <c r="AC29">
        <v>-105.82</v>
      </c>
      <c r="AD29">
        <v>1.76</v>
      </c>
      <c r="AE29">
        <v>186.24</v>
      </c>
      <c r="AF29">
        <v>-186.24</v>
      </c>
      <c r="AG29">
        <v>0</v>
      </c>
      <c r="AH29">
        <v>0</v>
      </c>
      <c r="AI29">
        <v>186.24</v>
      </c>
      <c r="AJ29">
        <v>-186.24</v>
      </c>
      <c r="AK29">
        <v>0</v>
      </c>
      <c r="AL29">
        <v>-186.24</v>
      </c>
      <c r="AM29">
        <v>827.73</v>
      </c>
      <c r="AN29">
        <v>0</v>
      </c>
      <c r="AO29">
        <v>0</v>
      </c>
      <c r="AP29">
        <v>0</v>
      </c>
      <c r="AQ29">
        <v>0</v>
      </c>
    </row>
    <row r="30" spans="1:43" x14ac:dyDescent="0.25">
      <c r="A30">
        <v>29</v>
      </c>
      <c r="B30" t="s">
        <v>71</v>
      </c>
      <c r="C30" t="s">
        <v>72</v>
      </c>
      <c r="D30" t="s">
        <v>73</v>
      </c>
      <c r="E30" t="s">
        <v>74</v>
      </c>
      <c r="F30">
        <v>240413360</v>
      </c>
      <c r="G30">
        <v>6568213</v>
      </c>
      <c r="H30" t="s">
        <v>75</v>
      </c>
      <c r="I30" t="s">
        <v>76</v>
      </c>
      <c r="J30" t="s">
        <v>75</v>
      </c>
      <c r="K30" t="s">
        <v>305</v>
      </c>
      <c r="L30" t="s">
        <v>285</v>
      </c>
      <c r="M30" t="s">
        <v>285</v>
      </c>
      <c r="N30" t="s">
        <v>286</v>
      </c>
      <c r="O30" t="s">
        <v>10</v>
      </c>
      <c r="P30" t="s">
        <v>77</v>
      </c>
      <c r="Q30" t="s">
        <v>306</v>
      </c>
      <c r="R30" t="s">
        <v>251</v>
      </c>
      <c r="S30" t="s">
        <v>84</v>
      </c>
      <c r="T30">
        <v>41201</v>
      </c>
      <c r="U30" t="s">
        <v>85</v>
      </c>
      <c r="V30">
        <v>51201</v>
      </c>
      <c r="W30" t="s">
        <v>81</v>
      </c>
      <c r="X30">
        <v>240413360</v>
      </c>
      <c r="Y30" t="s">
        <v>74</v>
      </c>
      <c r="Z30">
        <v>1</v>
      </c>
      <c r="AA30" t="s">
        <v>152</v>
      </c>
      <c r="AB30">
        <v>470.3</v>
      </c>
      <c r="AC30">
        <v>470.3</v>
      </c>
      <c r="AD30">
        <v>1.76</v>
      </c>
      <c r="AE30">
        <v>827.73</v>
      </c>
      <c r="AF30">
        <v>827.73</v>
      </c>
      <c r="AG30">
        <v>268</v>
      </c>
      <c r="AH30">
        <v>268</v>
      </c>
      <c r="AI30">
        <v>559.73</v>
      </c>
      <c r="AJ30">
        <v>559.73</v>
      </c>
      <c r="AK30">
        <v>67.62</v>
      </c>
      <c r="AL30">
        <v>-186.24</v>
      </c>
      <c r="AM30">
        <v>827.73</v>
      </c>
      <c r="AN30">
        <v>-186.24</v>
      </c>
      <c r="AO30">
        <v>373.49</v>
      </c>
      <c r="AP30">
        <v>373.49</v>
      </c>
      <c r="AQ30">
        <v>58.222262999999998</v>
      </c>
    </row>
    <row r="31" spans="1:43" x14ac:dyDescent="0.25">
      <c r="A31">
        <v>30</v>
      </c>
      <c r="B31" t="s">
        <v>71</v>
      </c>
      <c r="C31" t="s">
        <v>72</v>
      </c>
      <c r="D31" t="s">
        <v>73</v>
      </c>
      <c r="E31" t="s">
        <v>74</v>
      </c>
      <c r="F31">
        <v>240413455</v>
      </c>
      <c r="G31">
        <v>6568308</v>
      </c>
      <c r="H31" t="s">
        <v>75</v>
      </c>
      <c r="I31" t="s">
        <v>76</v>
      </c>
      <c r="J31" t="s">
        <v>75</v>
      </c>
      <c r="K31" t="s">
        <v>307</v>
      </c>
      <c r="L31" t="s">
        <v>285</v>
      </c>
      <c r="M31" t="s">
        <v>285</v>
      </c>
      <c r="N31" t="s">
        <v>286</v>
      </c>
      <c r="O31" t="s">
        <v>10</v>
      </c>
      <c r="P31" t="s">
        <v>77</v>
      </c>
      <c r="Q31" t="s">
        <v>235</v>
      </c>
      <c r="R31" t="s">
        <v>236</v>
      </c>
      <c r="S31" t="s">
        <v>84</v>
      </c>
      <c r="T31">
        <v>41201</v>
      </c>
      <c r="U31" t="s">
        <v>85</v>
      </c>
      <c r="V31">
        <v>51201</v>
      </c>
      <c r="W31" t="s">
        <v>81</v>
      </c>
      <c r="X31">
        <v>240413455</v>
      </c>
      <c r="Y31" t="s">
        <v>74</v>
      </c>
      <c r="Z31">
        <v>1</v>
      </c>
      <c r="AA31" t="s">
        <v>152</v>
      </c>
      <c r="AB31">
        <v>84.2</v>
      </c>
      <c r="AC31">
        <v>84.2</v>
      </c>
      <c r="AD31">
        <v>1.76</v>
      </c>
      <c r="AE31">
        <v>148.19</v>
      </c>
      <c r="AF31">
        <v>148.19</v>
      </c>
      <c r="AG31">
        <v>61</v>
      </c>
      <c r="AH31">
        <v>61</v>
      </c>
      <c r="AI31">
        <v>87.19</v>
      </c>
      <c r="AJ31">
        <v>87.19</v>
      </c>
      <c r="AK31">
        <v>58.84</v>
      </c>
      <c r="AL31">
        <v>0</v>
      </c>
      <c r="AM31">
        <v>148.19</v>
      </c>
      <c r="AN31">
        <v>0</v>
      </c>
      <c r="AO31">
        <v>87.19</v>
      </c>
      <c r="AP31">
        <v>87.19</v>
      </c>
      <c r="AQ31">
        <v>58.836627999999997</v>
      </c>
    </row>
    <row r="32" spans="1:43" x14ac:dyDescent="0.25">
      <c r="A32">
        <v>31</v>
      </c>
      <c r="B32" t="s">
        <v>71</v>
      </c>
      <c r="C32" t="s">
        <v>72</v>
      </c>
      <c r="D32" t="s">
        <v>73</v>
      </c>
      <c r="E32" t="s">
        <v>74</v>
      </c>
      <c r="F32">
        <v>240413460</v>
      </c>
      <c r="G32">
        <v>6568313</v>
      </c>
      <c r="H32" t="s">
        <v>75</v>
      </c>
      <c r="I32" t="s">
        <v>76</v>
      </c>
      <c r="J32" t="s">
        <v>75</v>
      </c>
      <c r="K32" t="s">
        <v>308</v>
      </c>
      <c r="L32" t="s">
        <v>285</v>
      </c>
      <c r="M32" t="s">
        <v>285</v>
      </c>
      <c r="N32" t="s">
        <v>286</v>
      </c>
      <c r="O32" t="s">
        <v>130</v>
      </c>
      <c r="P32" t="s">
        <v>77</v>
      </c>
      <c r="Q32" t="s">
        <v>78</v>
      </c>
      <c r="R32" t="s">
        <v>143</v>
      </c>
      <c r="S32" t="s">
        <v>79</v>
      </c>
      <c r="T32">
        <v>43201</v>
      </c>
      <c r="U32" t="s">
        <v>129</v>
      </c>
      <c r="V32">
        <v>51201</v>
      </c>
      <c r="W32" t="s">
        <v>81</v>
      </c>
      <c r="X32">
        <v>240413460</v>
      </c>
      <c r="Y32" t="s">
        <v>74</v>
      </c>
      <c r="Z32">
        <v>0</v>
      </c>
      <c r="AA32" t="s">
        <v>147</v>
      </c>
      <c r="AB32">
        <v>19.8</v>
      </c>
      <c r="AC32">
        <v>-19.8</v>
      </c>
      <c r="AD32">
        <v>5.83</v>
      </c>
      <c r="AE32">
        <v>115.43</v>
      </c>
      <c r="AF32">
        <v>-115.43</v>
      </c>
      <c r="AG32">
        <v>0</v>
      </c>
      <c r="AH32">
        <v>0</v>
      </c>
      <c r="AI32">
        <v>115.43</v>
      </c>
      <c r="AJ32">
        <v>-115.43</v>
      </c>
      <c r="AK32">
        <v>0</v>
      </c>
      <c r="AL32">
        <v>-115.43</v>
      </c>
      <c r="AM32">
        <v>513.04</v>
      </c>
      <c r="AN32">
        <v>0</v>
      </c>
      <c r="AO32">
        <v>0</v>
      </c>
      <c r="AP32">
        <v>0</v>
      </c>
      <c r="AQ32">
        <v>0</v>
      </c>
    </row>
    <row r="33" spans="1:43" x14ac:dyDescent="0.25">
      <c r="A33">
        <v>32</v>
      </c>
      <c r="B33" t="s">
        <v>71</v>
      </c>
      <c r="C33" t="s">
        <v>72</v>
      </c>
      <c r="D33" t="s">
        <v>73</v>
      </c>
      <c r="E33" t="s">
        <v>74</v>
      </c>
      <c r="F33">
        <v>240413460</v>
      </c>
      <c r="G33">
        <v>6568313</v>
      </c>
      <c r="H33" t="s">
        <v>75</v>
      </c>
      <c r="I33" t="s">
        <v>76</v>
      </c>
      <c r="J33" t="s">
        <v>75</v>
      </c>
      <c r="K33" t="s">
        <v>308</v>
      </c>
      <c r="L33" t="s">
        <v>285</v>
      </c>
      <c r="M33" t="s">
        <v>285</v>
      </c>
      <c r="N33" t="s">
        <v>286</v>
      </c>
      <c r="O33" t="s">
        <v>130</v>
      </c>
      <c r="P33" t="s">
        <v>77</v>
      </c>
      <c r="Q33" t="s">
        <v>115</v>
      </c>
      <c r="R33" t="s">
        <v>116</v>
      </c>
      <c r="S33" t="s">
        <v>105</v>
      </c>
      <c r="T33">
        <v>41201</v>
      </c>
      <c r="U33" t="s">
        <v>85</v>
      </c>
      <c r="V33">
        <v>51201</v>
      </c>
      <c r="W33" t="s">
        <v>81</v>
      </c>
      <c r="X33">
        <v>240413460</v>
      </c>
      <c r="Y33" t="s">
        <v>74</v>
      </c>
      <c r="Z33">
        <v>2</v>
      </c>
      <c r="AA33" t="s">
        <v>147</v>
      </c>
      <c r="AB33">
        <v>44</v>
      </c>
      <c r="AC33">
        <v>88</v>
      </c>
      <c r="AD33">
        <v>5.83</v>
      </c>
      <c r="AE33">
        <v>256.52</v>
      </c>
      <c r="AF33">
        <v>513.04</v>
      </c>
      <c r="AG33">
        <v>80.849999999999994</v>
      </c>
      <c r="AH33">
        <v>161.69</v>
      </c>
      <c r="AI33">
        <v>175.68</v>
      </c>
      <c r="AJ33">
        <v>351.35</v>
      </c>
      <c r="AK33">
        <v>68.48</v>
      </c>
      <c r="AL33">
        <v>-115.43</v>
      </c>
      <c r="AM33">
        <v>513.04</v>
      </c>
      <c r="AN33">
        <v>-115.43</v>
      </c>
      <c r="AO33">
        <v>117.96</v>
      </c>
      <c r="AP33">
        <v>235.92</v>
      </c>
      <c r="AQ33">
        <v>59.334522999999997</v>
      </c>
    </row>
    <row r="34" spans="1:43" x14ac:dyDescent="0.25">
      <c r="A34">
        <v>33</v>
      </c>
      <c r="B34" t="s">
        <v>71</v>
      </c>
      <c r="C34" t="s">
        <v>72</v>
      </c>
      <c r="D34" t="s">
        <v>73</v>
      </c>
      <c r="E34" t="s">
        <v>74</v>
      </c>
      <c r="F34">
        <v>240413528</v>
      </c>
      <c r="G34">
        <v>6568381</v>
      </c>
      <c r="H34" t="s">
        <v>75</v>
      </c>
      <c r="I34" t="s">
        <v>76</v>
      </c>
      <c r="J34" t="s">
        <v>75</v>
      </c>
      <c r="K34" t="s">
        <v>309</v>
      </c>
      <c r="L34" t="s">
        <v>285</v>
      </c>
      <c r="M34" t="s">
        <v>285</v>
      </c>
      <c r="N34" t="s">
        <v>286</v>
      </c>
      <c r="O34" t="s">
        <v>10</v>
      </c>
      <c r="P34" t="s">
        <v>77</v>
      </c>
      <c r="Q34" t="s">
        <v>310</v>
      </c>
      <c r="R34" t="s">
        <v>311</v>
      </c>
      <c r="S34" t="s">
        <v>105</v>
      </c>
      <c r="T34">
        <v>41201</v>
      </c>
      <c r="U34" t="s">
        <v>85</v>
      </c>
      <c r="V34">
        <v>51201</v>
      </c>
      <c r="W34" t="s">
        <v>81</v>
      </c>
      <c r="X34">
        <v>240413528</v>
      </c>
      <c r="Y34" t="s">
        <v>74</v>
      </c>
      <c r="Z34">
        <v>1</v>
      </c>
      <c r="AA34" t="s">
        <v>152</v>
      </c>
      <c r="AB34">
        <v>99</v>
      </c>
      <c r="AC34">
        <v>99</v>
      </c>
      <c r="AD34">
        <v>1.76</v>
      </c>
      <c r="AE34">
        <v>174.24</v>
      </c>
      <c r="AF34">
        <v>174.24</v>
      </c>
      <c r="AG34">
        <v>47.83</v>
      </c>
      <c r="AH34">
        <v>47.83</v>
      </c>
      <c r="AI34">
        <v>126.41</v>
      </c>
      <c r="AJ34">
        <v>126.41</v>
      </c>
      <c r="AK34">
        <v>72.55</v>
      </c>
      <c r="AL34">
        <v>0</v>
      </c>
      <c r="AM34">
        <v>174.24</v>
      </c>
      <c r="AN34">
        <v>0</v>
      </c>
      <c r="AO34">
        <v>126.41</v>
      </c>
      <c r="AP34">
        <v>126.41</v>
      </c>
      <c r="AQ34">
        <v>72.549357000000001</v>
      </c>
    </row>
    <row r="35" spans="1:43" x14ac:dyDescent="0.25">
      <c r="A35">
        <v>34</v>
      </c>
      <c r="B35" t="s">
        <v>71</v>
      </c>
      <c r="C35" t="s">
        <v>72</v>
      </c>
      <c r="D35" t="s">
        <v>73</v>
      </c>
      <c r="E35" t="s">
        <v>74</v>
      </c>
      <c r="F35">
        <v>240413539</v>
      </c>
      <c r="G35">
        <v>6568392</v>
      </c>
      <c r="H35" t="s">
        <v>75</v>
      </c>
      <c r="I35" t="s">
        <v>76</v>
      </c>
      <c r="J35" t="s">
        <v>75</v>
      </c>
      <c r="K35" t="s">
        <v>312</v>
      </c>
      <c r="L35" t="s">
        <v>285</v>
      </c>
      <c r="M35" t="s">
        <v>285</v>
      </c>
      <c r="N35" t="s">
        <v>286</v>
      </c>
      <c r="O35" t="s">
        <v>10</v>
      </c>
      <c r="P35" t="s">
        <v>77</v>
      </c>
      <c r="Q35" t="s">
        <v>78</v>
      </c>
      <c r="R35" t="s">
        <v>143</v>
      </c>
      <c r="S35" t="s">
        <v>79</v>
      </c>
      <c r="T35">
        <v>43201</v>
      </c>
      <c r="U35" t="s">
        <v>129</v>
      </c>
      <c r="V35">
        <v>51201</v>
      </c>
      <c r="W35" t="s">
        <v>81</v>
      </c>
      <c r="X35">
        <v>240413539</v>
      </c>
      <c r="Y35" t="s">
        <v>74</v>
      </c>
      <c r="Z35">
        <v>0</v>
      </c>
      <c r="AA35" t="s">
        <v>152</v>
      </c>
      <c r="AB35">
        <v>54.19</v>
      </c>
      <c r="AC35">
        <v>-54.19</v>
      </c>
      <c r="AD35">
        <v>1.76</v>
      </c>
      <c r="AE35">
        <v>95.37</v>
      </c>
      <c r="AF35">
        <v>-95.37</v>
      </c>
      <c r="AG35">
        <v>0</v>
      </c>
      <c r="AH35">
        <v>0</v>
      </c>
      <c r="AI35">
        <v>95.37</v>
      </c>
      <c r="AJ35">
        <v>-95.37</v>
      </c>
      <c r="AK35">
        <v>0</v>
      </c>
      <c r="AL35">
        <v>-95.37</v>
      </c>
      <c r="AM35">
        <v>529.96</v>
      </c>
      <c r="AN35">
        <v>0</v>
      </c>
      <c r="AO35">
        <v>0</v>
      </c>
      <c r="AP35">
        <v>0</v>
      </c>
      <c r="AQ35">
        <v>0</v>
      </c>
    </row>
    <row r="36" spans="1:43" x14ac:dyDescent="0.25">
      <c r="A36">
        <v>35</v>
      </c>
      <c r="B36" t="s">
        <v>71</v>
      </c>
      <c r="C36" t="s">
        <v>72</v>
      </c>
      <c r="D36" t="s">
        <v>73</v>
      </c>
      <c r="E36" t="s">
        <v>74</v>
      </c>
      <c r="F36">
        <v>240413539</v>
      </c>
      <c r="G36">
        <v>6568392</v>
      </c>
      <c r="H36" t="s">
        <v>75</v>
      </c>
      <c r="I36" t="s">
        <v>76</v>
      </c>
      <c r="J36" t="s">
        <v>75</v>
      </c>
      <c r="K36" t="s">
        <v>312</v>
      </c>
      <c r="L36" t="s">
        <v>285</v>
      </c>
      <c r="M36" t="s">
        <v>285</v>
      </c>
      <c r="N36" t="s">
        <v>286</v>
      </c>
      <c r="O36" t="s">
        <v>10</v>
      </c>
      <c r="P36" t="s">
        <v>77</v>
      </c>
      <c r="Q36" t="s">
        <v>89</v>
      </c>
      <c r="R36" t="s">
        <v>90</v>
      </c>
      <c r="S36" t="s">
        <v>84</v>
      </c>
      <c r="T36">
        <v>41201</v>
      </c>
      <c r="U36" t="s">
        <v>85</v>
      </c>
      <c r="V36">
        <v>51201</v>
      </c>
      <c r="W36" t="s">
        <v>81</v>
      </c>
      <c r="X36">
        <v>240413539</v>
      </c>
      <c r="Y36" t="s">
        <v>74</v>
      </c>
      <c r="Z36">
        <v>2</v>
      </c>
      <c r="AA36" t="s">
        <v>152</v>
      </c>
      <c r="AB36">
        <v>96.9</v>
      </c>
      <c r="AC36">
        <v>193.8</v>
      </c>
      <c r="AD36">
        <v>1.76</v>
      </c>
      <c r="AE36">
        <v>170.54499999999999</v>
      </c>
      <c r="AF36">
        <v>341.09</v>
      </c>
      <c r="AG36">
        <v>78</v>
      </c>
      <c r="AH36">
        <v>156</v>
      </c>
      <c r="AI36">
        <v>92.55</v>
      </c>
      <c r="AJ36">
        <v>185.09</v>
      </c>
      <c r="AK36">
        <v>54.26</v>
      </c>
      <c r="AL36">
        <v>-95.37</v>
      </c>
      <c r="AM36">
        <v>529.96</v>
      </c>
      <c r="AN36">
        <v>-61.38</v>
      </c>
      <c r="AO36">
        <v>61.854999999999997</v>
      </c>
      <c r="AP36">
        <v>123.71</v>
      </c>
      <c r="AQ36">
        <v>44.22795</v>
      </c>
    </row>
    <row r="37" spans="1:43" x14ac:dyDescent="0.25">
      <c r="A37">
        <v>36</v>
      </c>
      <c r="B37" t="s">
        <v>71</v>
      </c>
      <c r="C37" t="s">
        <v>72</v>
      </c>
      <c r="D37" t="s">
        <v>73</v>
      </c>
      <c r="E37" t="s">
        <v>74</v>
      </c>
      <c r="F37">
        <v>240413539</v>
      </c>
      <c r="G37">
        <v>6568392</v>
      </c>
      <c r="H37" t="s">
        <v>75</v>
      </c>
      <c r="I37" t="s">
        <v>76</v>
      </c>
      <c r="J37" t="s">
        <v>75</v>
      </c>
      <c r="K37" t="s">
        <v>312</v>
      </c>
      <c r="L37" t="s">
        <v>285</v>
      </c>
      <c r="M37" t="s">
        <v>285</v>
      </c>
      <c r="N37" t="s">
        <v>286</v>
      </c>
      <c r="O37" t="s">
        <v>10</v>
      </c>
      <c r="P37" t="s">
        <v>77</v>
      </c>
      <c r="Q37" t="s">
        <v>82</v>
      </c>
      <c r="R37" t="s">
        <v>83</v>
      </c>
      <c r="S37" t="s">
        <v>84</v>
      </c>
      <c r="T37">
        <v>41201</v>
      </c>
      <c r="U37" t="s">
        <v>85</v>
      </c>
      <c r="V37">
        <v>51201</v>
      </c>
      <c r="W37" t="s">
        <v>81</v>
      </c>
      <c r="X37">
        <v>240413539</v>
      </c>
      <c r="Y37" t="s">
        <v>74</v>
      </c>
      <c r="Z37">
        <v>3</v>
      </c>
      <c r="AA37" t="s">
        <v>152</v>
      </c>
      <c r="AB37">
        <v>35.770000000000003</v>
      </c>
      <c r="AC37">
        <v>107.31</v>
      </c>
      <c r="AD37">
        <v>1.76</v>
      </c>
      <c r="AE37">
        <v>62.956665999999998</v>
      </c>
      <c r="AF37">
        <v>188.87</v>
      </c>
      <c r="AG37">
        <v>20</v>
      </c>
      <c r="AH37">
        <v>60</v>
      </c>
      <c r="AI37">
        <v>42.96</v>
      </c>
      <c r="AJ37">
        <v>128.87</v>
      </c>
      <c r="AK37">
        <v>68.23</v>
      </c>
      <c r="AL37">
        <v>-95.37</v>
      </c>
      <c r="AM37">
        <v>529.96</v>
      </c>
      <c r="AN37">
        <v>-33.99</v>
      </c>
      <c r="AO37">
        <v>31.626666</v>
      </c>
      <c r="AP37">
        <v>94.88</v>
      </c>
      <c r="AQ37">
        <v>61.260330000000003</v>
      </c>
    </row>
    <row r="38" spans="1:43" x14ac:dyDescent="0.25">
      <c r="A38">
        <v>37</v>
      </c>
      <c r="B38" t="s">
        <v>71</v>
      </c>
      <c r="C38" t="s">
        <v>72</v>
      </c>
      <c r="D38" t="s">
        <v>73</v>
      </c>
      <c r="E38" t="s">
        <v>74</v>
      </c>
      <c r="F38">
        <v>240413540</v>
      </c>
      <c r="G38">
        <v>6568393</v>
      </c>
      <c r="H38" t="s">
        <v>75</v>
      </c>
      <c r="I38" t="s">
        <v>76</v>
      </c>
      <c r="J38" t="s">
        <v>75</v>
      </c>
      <c r="K38" t="s">
        <v>313</v>
      </c>
      <c r="L38" t="s">
        <v>285</v>
      </c>
      <c r="M38" t="s">
        <v>285</v>
      </c>
      <c r="N38" t="s">
        <v>286</v>
      </c>
      <c r="O38" t="s">
        <v>130</v>
      </c>
      <c r="P38" t="s">
        <v>77</v>
      </c>
      <c r="Q38" t="s">
        <v>78</v>
      </c>
      <c r="R38" t="s">
        <v>143</v>
      </c>
      <c r="S38" t="s">
        <v>79</v>
      </c>
      <c r="T38">
        <v>43201</v>
      </c>
      <c r="U38" t="s">
        <v>129</v>
      </c>
      <c r="V38">
        <v>51201</v>
      </c>
      <c r="W38" t="s">
        <v>81</v>
      </c>
      <c r="X38">
        <v>240413540</v>
      </c>
      <c r="Y38" t="s">
        <v>74</v>
      </c>
      <c r="Z38">
        <v>0</v>
      </c>
      <c r="AA38" t="s">
        <v>147</v>
      </c>
      <c r="AB38">
        <v>11.93</v>
      </c>
      <c r="AC38">
        <v>-11.93</v>
      </c>
      <c r="AD38">
        <v>5.83</v>
      </c>
      <c r="AE38">
        <v>69.55</v>
      </c>
      <c r="AF38">
        <v>-69.55</v>
      </c>
      <c r="AG38">
        <v>0</v>
      </c>
      <c r="AH38">
        <v>0</v>
      </c>
      <c r="AI38">
        <v>69.55</v>
      </c>
      <c r="AJ38">
        <v>-69.55</v>
      </c>
      <c r="AK38">
        <v>0</v>
      </c>
      <c r="AL38">
        <v>-69.55</v>
      </c>
      <c r="AM38">
        <v>308.99</v>
      </c>
      <c r="AN38">
        <v>0</v>
      </c>
      <c r="AO38">
        <v>0</v>
      </c>
      <c r="AP38">
        <v>0</v>
      </c>
      <c r="AQ38">
        <v>0</v>
      </c>
    </row>
    <row r="39" spans="1:43" x14ac:dyDescent="0.25">
      <c r="A39">
        <v>38</v>
      </c>
      <c r="B39" t="s">
        <v>71</v>
      </c>
      <c r="C39" t="s">
        <v>72</v>
      </c>
      <c r="D39" t="s">
        <v>73</v>
      </c>
      <c r="E39" t="s">
        <v>74</v>
      </c>
      <c r="F39">
        <v>240413540</v>
      </c>
      <c r="G39">
        <v>6568393</v>
      </c>
      <c r="H39" t="s">
        <v>75</v>
      </c>
      <c r="I39" t="s">
        <v>76</v>
      </c>
      <c r="J39" t="s">
        <v>75</v>
      </c>
      <c r="K39" t="s">
        <v>313</v>
      </c>
      <c r="L39" t="s">
        <v>285</v>
      </c>
      <c r="M39" t="s">
        <v>285</v>
      </c>
      <c r="N39" t="s">
        <v>286</v>
      </c>
      <c r="O39" t="s">
        <v>130</v>
      </c>
      <c r="P39" t="s">
        <v>77</v>
      </c>
      <c r="Q39" t="s">
        <v>314</v>
      </c>
      <c r="R39" t="s">
        <v>315</v>
      </c>
      <c r="S39" t="s">
        <v>136</v>
      </c>
      <c r="T39">
        <v>41201</v>
      </c>
      <c r="U39" t="s">
        <v>85</v>
      </c>
      <c r="V39">
        <v>51201</v>
      </c>
      <c r="W39" t="s">
        <v>81</v>
      </c>
      <c r="X39">
        <v>240413540</v>
      </c>
      <c r="Y39" t="s">
        <v>74</v>
      </c>
      <c r="Z39">
        <v>1</v>
      </c>
      <c r="AA39" t="s">
        <v>147</v>
      </c>
      <c r="AB39">
        <v>53</v>
      </c>
      <c r="AC39">
        <v>53</v>
      </c>
      <c r="AD39">
        <v>5.83</v>
      </c>
      <c r="AE39">
        <v>308.99</v>
      </c>
      <c r="AF39">
        <v>308.99</v>
      </c>
      <c r="AG39">
        <v>94.98</v>
      </c>
      <c r="AH39">
        <v>94.98</v>
      </c>
      <c r="AI39">
        <v>214.01</v>
      </c>
      <c r="AJ39">
        <v>214.01</v>
      </c>
      <c r="AK39">
        <v>69.260000000000005</v>
      </c>
      <c r="AL39">
        <v>-69.55</v>
      </c>
      <c r="AM39">
        <v>308.99</v>
      </c>
      <c r="AN39">
        <v>-69.55</v>
      </c>
      <c r="AO39">
        <v>144.46</v>
      </c>
      <c r="AP39">
        <v>144.46</v>
      </c>
      <c r="AQ39">
        <v>60.332442</v>
      </c>
    </row>
    <row r="40" spans="1:43" x14ac:dyDescent="0.25">
      <c r="A40">
        <v>39</v>
      </c>
      <c r="B40" t="s">
        <v>71</v>
      </c>
      <c r="C40" t="s">
        <v>72</v>
      </c>
      <c r="D40" t="s">
        <v>73</v>
      </c>
      <c r="E40" t="s">
        <v>74</v>
      </c>
      <c r="F40">
        <v>240413622</v>
      </c>
      <c r="G40">
        <v>6568475</v>
      </c>
      <c r="H40" t="s">
        <v>75</v>
      </c>
      <c r="I40" t="s">
        <v>76</v>
      </c>
      <c r="J40" t="s">
        <v>75</v>
      </c>
      <c r="K40" t="s">
        <v>316</v>
      </c>
      <c r="L40" t="s">
        <v>285</v>
      </c>
      <c r="M40" t="s">
        <v>285</v>
      </c>
      <c r="N40" t="s">
        <v>286</v>
      </c>
      <c r="O40" t="s">
        <v>132</v>
      </c>
      <c r="P40" t="s">
        <v>77</v>
      </c>
      <c r="Q40" t="s">
        <v>78</v>
      </c>
      <c r="R40" t="s">
        <v>143</v>
      </c>
      <c r="S40" t="s">
        <v>79</v>
      </c>
      <c r="T40">
        <v>43201</v>
      </c>
      <c r="U40" t="s">
        <v>129</v>
      </c>
      <c r="V40">
        <v>51201</v>
      </c>
      <c r="W40" t="s">
        <v>81</v>
      </c>
      <c r="X40">
        <v>240413622</v>
      </c>
      <c r="Y40" t="s">
        <v>74</v>
      </c>
      <c r="Z40">
        <v>0</v>
      </c>
      <c r="AA40" t="s">
        <v>123</v>
      </c>
      <c r="AB40">
        <v>91.13</v>
      </c>
      <c r="AC40">
        <v>0</v>
      </c>
      <c r="AD40">
        <v>0</v>
      </c>
      <c r="AE40">
        <v>91.13</v>
      </c>
      <c r="AF40">
        <v>-91.13</v>
      </c>
      <c r="AG40">
        <v>0</v>
      </c>
      <c r="AH40">
        <v>0</v>
      </c>
      <c r="AI40">
        <v>91.13</v>
      </c>
      <c r="AJ40">
        <v>-91.13</v>
      </c>
      <c r="AK40">
        <v>0</v>
      </c>
      <c r="AL40">
        <v>-91.13</v>
      </c>
      <c r="AM40">
        <v>405</v>
      </c>
      <c r="AN40">
        <v>0</v>
      </c>
      <c r="AO40">
        <v>0</v>
      </c>
      <c r="AP40">
        <v>0</v>
      </c>
      <c r="AQ40">
        <v>0</v>
      </c>
    </row>
    <row r="41" spans="1:43" x14ac:dyDescent="0.25">
      <c r="A41">
        <v>40</v>
      </c>
      <c r="B41" t="s">
        <v>71</v>
      </c>
      <c r="C41" t="s">
        <v>72</v>
      </c>
      <c r="D41" t="s">
        <v>73</v>
      </c>
      <c r="E41" t="s">
        <v>74</v>
      </c>
      <c r="F41">
        <v>240413622</v>
      </c>
      <c r="G41">
        <v>6568475</v>
      </c>
      <c r="H41" t="s">
        <v>75</v>
      </c>
      <c r="I41" t="s">
        <v>76</v>
      </c>
      <c r="J41" t="s">
        <v>75</v>
      </c>
      <c r="K41" t="s">
        <v>316</v>
      </c>
      <c r="L41" t="s">
        <v>285</v>
      </c>
      <c r="M41" t="s">
        <v>285</v>
      </c>
      <c r="N41" t="s">
        <v>286</v>
      </c>
      <c r="O41" t="s">
        <v>132</v>
      </c>
      <c r="P41" t="s">
        <v>77</v>
      </c>
      <c r="Q41" t="s">
        <v>317</v>
      </c>
      <c r="R41" t="s">
        <v>318</v>
      </c>
      <c r="S41" t="s">
        <v>105</v>
      </c>
      <c r="T41">
        <v>41201</v>
      </c>
      <c r="U41" t="s">
        <v>85</v>
      </c>
      <c r="V41">
        <v>51201</v>
      </c>
      <c r="W41" t="s">
        <v>81</v>
      </c>
      <c r="X41">
        <v>240413622</v>
      </c>
      <c r="Y41" t="s">
        <v>74</v>
      </c>
      <c r="Z41">
        <v>2</v>
      </c>
      <c r="AA41" t="s">
        <v>123</v>
      </c>
      <c r="AB41">
        <v>202.5</v>
      </c>
      <c r="AC41">
        <v>0</v>
      </c>
      <c r="AD41">
        <v>0</v>
      </c>
      <c r="AE41">
        <v>202.5</v>
      </c>
      <c r="AF41">
        <v>405</v>
      </c>
      <c r="AG41">
        <v>85.74</v>
      </c>
      <c r="AH41">
        <v>171.47</v>
      </c>
      <c r="AI41">
        <v>116.77</v>
      </c>
      <c r="AJ41">
        <v>233.53</v>
      </c>
      <c r="AK41">
        <v>57.66</v>
      </c>
      <c r="AL41">
        <v>-91.13</v>
      </c>
      <c r="AM41">
        <v>405</v>
      </c>
      <c r="AN41">
        <v>-91.13</v>
      </c>
      <c r="AO41">
        <v>71.2</v>
      </c>
      <c r="AP41">
        <v>142.4</v>
      </c>
      <c r="AQ41">
        <v>45.369101000000001</v>
      </c>
    </row>
    <row r="42" spans="1:43" x14ac:dyDescent="0.25">
      <c r="A42">
        <v>41</v>
      </c>
      <c r="B42" t="s">
        <v>71</v>
      </c>
      <c r="C42" t="s">
        <v>72</v>
      </c>
      <c r="D42" t="s">
        <v>73</v>
      </c>
      <c r="E42" t="s">
        <v>74</v>
      </c>
      <c r="F42">
        <v>240413900</v>
      </c>
      <c r="G42">
        <v>6568753</v>
      </c>
      <c r="H42" t="s">
        <v>75</v>
      </c>
      <c r="I42" t="s">
        <v>76</v>
      </c>
      <c r="J42" t="s">
        <v>75</v>
      </c>
      <c r="K42" t="s">
        <v>319</v>
      </c>
      <c r="L42" t="s">
        <v>285</v>
      </c>
      <c r="M42" t="s">
        <v>285</v>
      </c>
      <c r="N42" t="s">
        <v>286</v>
      </c>
      <c r="O42" t="s">
        <v>130</v>
      </c>
      <c r="P42" t="s">
        <v>77</v>
      </c>
      <c r="Q42" t="s">
        <v>78</v>
      </c>
      <c r="R42" t="s">
        <v>143</v>
      </c>
      <c r="S42" t="s">
        <v>79</v>
      </c>
      <c r="T42">
        <v>43201</v>
      </c>
      <c r="U42" t="s">
        <v>129</v>
      </c>
      <c r="V42">
        <v>51201</v>
      </c>
      <c r="W42" t="s">
        <v>81</v>
      </c>
      <c r="X42">
        <v>240413900</v>
      </c>
      <c r="Y42" t="s">
        <v>74</v>
      </c>
      <c r="Z42">
        <v>0</v>
      </c>
      <c r="AA42" t="s">
        <v>147</v>
      </c>
      <c r="AB42">
        <v>11.93</v>
      </c>
      <c r="AC42">
        <v>-11.93</v>
      </c>
      <c r="AD42">
        <v>5.83</v>
      </c>
      <c r="AE42">
        <v>69.55</v>
      </c>
      <c r="AF42">
        <v>-69.55</v>
      </c>
      <c r="AG42">
        <v>0</v>
      </c>
      <c r="AH42">
        <v>0</v>
      </c>
      <c r="AI42">
        <v>69.55</v>
      </c>
      <c r="AJ42">
        <v>-69.55</v>
      </c>
      <c r="AK42">
        <v>0</v>
      </c>
      <c r="AL42">
        <v>-69.55</v>
      </c>
      <c r="AM42">
        <v>308.99</v>
      </c>
      <c r="AN42">
        <v>0</v>
      </c>
      <c r="AO42">
        <v>0</v>
      </c>
      <c r="AP42">
        <v>0</v>
      </c>
      <c r="AQ42">
        <v>0</v>
      </c>
    </row>
    <row r="43" spans="1:43" x14ac:dyDescent="0.25">
      <c r="A43">
        <v>42</v>
      </c>
      <c r="B43" t="s">
        <v>71</v>
      </c>
      <c r="C43" t="s">
        <v>72</v>
      </c>
      <c r="D43" t="s">
        <v>73</v>
      </c>
      <c r="E43" t="s">
        <v>74</v>
      </c>
      <c r="F43">
        <v>240413900</v>
      </c>
      <c r="G43">
        <v>6568753</v>
      </c>
      <c r="H43" t="s">
        <v>75</v>
      </c>
      <c r="I43" t="s">
        <v>76</v>
      </c>
      <c r="J43" t="s">
        <v>75</v>
      </c>
      <c r="K43" t="s">
        <v>319</v>
      </c>
      <c r="L43" t="s">
        <v>285</v>
      </c>
      <c r="M43" t="s">
        <v>285</v>
      </c>
      <c r="N43" t="s">
        <v>286</v>
      </c>
      <c r="O43" t="s">
        <v>130</v>
      </c>
      <c r="P43" t="s">
        <v>77</v>
      </c>
      <c r="Q43" t="s">
        <v>314</v>
      </c>
      <c r="R43" t="s">
        <v>315</v>
      </c>
      <c r="S43" t="s">
        <v>136</v>
      </c>
      <c r="T43">
        <v>41201</v>
      </c>
      <c r="U43" t="s">
        <v>85</v>
      </c>
      <c r="V43">
        <v>51201</v>
      </c>
      <c r="W43" t="s">
        <v>81</v>
      </c>
      <c r="X43">
        <v>240413900</v>
      </c>
      <c r="Y43" t="s">
        <v>74</v>
      </c>
      <c r="Z43">
        <v>1</v>
      </c>
      <c r="AA43" t="s">
        <v>147</v>
      </c>
      <c r="AB43">
        <v>53</v>
      </c>
      <c r="AC43">
        <v>53</v>
      </c>
      <c r="AD43">
        <v>5.83</v>
      </c>
      <c r="AE43">
        <v>308.99</v>
      </c>
      <c r="AF43">
        <v>308.99</v>
      </c>
      <c r="AG43">
        <v>94.97</v>
      </c>
      <c r="AH43">
        <v>94.97</v>
      </c>
      <c r="AI43">
        <v>214.02</v>
      </c>
      <c r="AJ43">
        <v>214.02</v>
      </c>
      <c r="AK43">
        <v>69.260000000000005</v>
      </c>
      <c r="AL43">
        <v>-69.55</v>
      </c>
      <c r="AM43">
        <v>308.99</v>
      </c>
      <c r="AN43">
        <v>-69.55</v>
      </c>
      <c r="AO43">
        <v>144.47</v>
      </c>
      <c r="AP43">
        <v>144.47</v>
      </c>
      <c r="AQ43">
        <v>60.336618000000001</v>
      </c>
    </row>
    <row r="44" spans="1:43" x14ac:dyDescent="0.25">
      <c r="A44">
        <v>43</v>
      </c>
      <c r="B44" t="s">
        <v>71</v>
      </c>
      <c r="C44" t="s">
        <v>72</v>
      </c>
      <c r="D44" t="s">
        <v>73</v>
      </c>
      <c r="E44" t="s">
        <v>74</v>
      </c>
      <c r="F44">
        <v>240413996</v>
      </c>
      <c r="G44">
        <v>6568849</v>
      </c>
      <c r="H44" t="s">
        <v>75</v>
      </c>
      <c r="I44" t="s">
        <v>76</v>
      </c>
      <c r="J44" t="s">
        <v>75</v>
      </c>
      <c r="K44" t="s">
        <v>320</v>
      </c>
      <c r="L44" t="s">
        <v>285</v>
      </c>
      <c r="M44" t="s">
        <v>285</v>
      </c>
      <c r="N44" t="s">
        <v>286</v>
      </c>
      <c r="O44" t="s">
        <v>10</v>
      </c>
      <c r="P44" t="s">
        <v>77</v>
      </c>
      <c r="Q44" t="s">
        <v>180</v>
      </c>
      <c r="R44" t="s">
        <v>181</v>
      </c>
      <c r="S44" t="s">
        <v>105</v>
      </c>
      <c r="T44">
        <v>41201</v>
      </c>
      <c r="U44" t="s">
        <v>85</v>
      </c>
      <c r="V44">
        <v>51201</v>
      </c>
      <c r="W44" t="s">
        <v>81</v>
      </c>
      <c r="X44">
        <v>240413996</v>
      </c>
      <c r="Y44" t="s">
        <v>74</v>
      </c>
      <c r="Z44">
        <v>1</v>
      </c>
      <c r="AA44" t="s">
        <v>152</v>
      </c>
      <c r="AB44">
        <v>257.60000000000002</v>
      </c>
      <c r="AC44">
        <v>257.60000000000002</v>
      </c>
      <c r="AD44">
        <v>1.76</v>
      </c>
      <c r="AE44">
        <v>453.38</v>
      </c>
      <c r="AF44">
        <v>453.38</v>
      </c>
      <c r="AG44">
        <v>215.21</v>
      </c>
      <c r="AH44">
        <v>215.21</v>
      </c>
      <c r="AI44">
        <v>238.17</v>
      </c>
      <c r="AJ44">
        <v>238.17</v>
      </c>
      <c r="AK44">
        <v>52.53</v>
      </c>
      <c r="AL44">
        <v>0</v>
      </c>
      <c r="AM44">
        <v>453.38</v>
      </c>
      <c r="AN44">
        <v>0</v>
      </c>
      <c r="AO44">
        <v>238.17</v>
      </c>
      <c r="AP44">
        <v>238.17</v>
      </c>
      <c r="AQ44">
        <v>52.532091999999999</v>
      </c>
    </row>
    <row r="45" spans="1:43" x14ac:dyDescent="0.25">
      <c r="A45">
        <v>44</v>
      </c>
      <c r="B45" t="s">
        <v>71</v>
      </c>
      <c r="C45" t="s">
        <v>72</v>
      </c>
      <c r="D45" t="s">
        <v>73</v>
      </c>
      <c r="E45" t="s">
        <v>74</v>
      </c>
      <c r="F45">
        <v>240414096</v>
      </c>
      <c r="G45">
        <v>6568949</v>
      </c>
      <c r="H45" t="s">
        <v>75</v>
      </c>
      <c r="I45" t="s">
        <v>76</v>
      </c>
      <c r="J45" t="s">
        <v>75</v>
      </c>
      <c r="K45" t="s">
        <v>321</v>
      </c>
      <c r="L45" t="s">
        <v>285</v>
      </c>
      <c r="M45" t="s">
        <v>285</v>
      </c>
      <c r="N45" t="s">
        <v>286</v>
      </c>
      <c r="O45" t="s">
        <v>10</v>
      </c>
      <c r="P45" t="s">
        <v>77</v>
      </c>
      <c r="Q45" t="s">
        <v>322</v>
      </c>
      <c r="R45" t="s">
        <v>323</v>
      </c>
      <c r="S45" t="s">
        <v>84</v>
      </c>
      <c r="T45">
        <v>41201</v>
      </c>
      <c r="U45" t="s">
        <v>85</v>
      </c>
      <c r="V45">
        <v>51201</v>
      </c>
      <c r="W45" t="s">
        <v>81</v>
      </c>
      <c r="X45">
        <v>240414096</v>
      </c>
      <c r="Y45" t="s">
        <v>74</v>
      </c>
      <c r="Z45">
        <v>1</v>
      </c>
      <c r="AA45" t="s">
        <v>152</v>
      </c>
      <c r="AB45">
        <v>147.9</v>
      </c>
      <c r="AC45">
        <v>147.9</v>
      </c>
      <c r="AD45">
        <v>1.76</v>
      </c>
      <c r="AE45">
        <v>260.3</v>
      </c>
      <c r="AF45">
        <v>260.3</v>
      </c>
      <c r="AG45">
        <v>91.15</v>
      </c>
      <c r="AH45">
        <v>91.15</v>
      </c>
      <c r="AI45">
        <v>169.15</v>
      </c>
      <c r="AJ45">
        <v>169.15</v>
      </c>
      <c r="AK45">
        <v>64.98</v>
      </c>
      <c r="AL45">
        <v>-46.85</v>
      </c>
      <c r="AM45">
        <v>260.3</v>
      </c>
      <c r="AN45">
        <v>-46.85</v>
      </c>
      <c r="AO45">
        <v>122.3</v>
      </c>
      <c r="AP45">
        <v>122.3</v>
      </c>
      <c r="AQ45">
        <v>57.296790000000001</v>
      </c>
    </row>
    <row r="46" spans="1:43" x14ac:dyDescent="0.25">
      <c r="A46">
        <v>45</v>
      </c>
      <c r="B46" t="s">
        <v>71</v>
      </c>
      <c r="C46" t="s">
        <v>72</v>
      </c>
      <c r="D46" t="s">
        <v>73</v>
      </c>
      <c r="E46" t="s">
        <v>74</v>
      </c>
      <c r="F46">
        <v>240414096</v>
      </c>
      <c r="G46">
        <v>6568949</v>
      </c>
      <c r="H46" t="s">
        <v>75</v>
      </c>
      <c r="I46" t="s">
        <v>76</v>
      </c>
      <c r="J46" t="s">
        <v>75</v>
      </c>
      <c r="K46" t="s">
        <v>321</v>
      </c>
      <c r="L46" t="s">
        <v>285</v>
      </c>
      <c r="M46" t="s">
        <v>285</v>
      </c>
      <c r="N46" t="s">
        <v>286</v>
      </c>
      <c r="O46" t="s">
        <v>10</v>
      </c>
      <c r="P46" t="s">
        <v>77</v>
      </c>
      <c r="Q46" t="s">
        <v>78</v>
      </c>
      <c r="R46" t="s">
        <v>143</v>
      </c>
      <c r="S46" t="s">
        <v>79</v>
      </c>
      <c r="T46">
        <v>43201</v>
      </c>
      <c r="U46" t="s">
        <v>129</v>
      </c>
      <c r="V46">
        <v>51201</v>
      </c>
      <c r="W46" t="s">
        <v>81</v>
      </c>
      <c r="X46">
        <v>240414096</v>
      </c>
      <c r="Y46" t="s">
        <v>74</v>
      </c>
      <c r="Z46">
        <v>0</v>
      </c>
      <c r="AA46" t="s">
        <v>152</v>
      </c>
      <c r="AB46">
        <v>26.62</v>
      </c>
      <c r="AC46">
        <v>-26.62</v>
      </c>
      <c r="AD46">
        <v>1.76</v>
      </c>
      <c r="AE46">
        <v>46.85</v>
      </c>
      <c r="AF46">
        <v>-46.85</v>
      </c>
      <c r="AG46">
        <v>0</v>
      </c>
      <c r="AH46">
        <v>0</v>
      </c>
      <c r="AI46">
        <v>46.85</v>
      </c>
      <c r="AJ46">
        <v>-46.85</v>
      </c>
      <c r="AK46">
        <v>0</v>
      </c>
      <c r="AL46">
        <v>-46.85</v>
      </c>
      <c r="AM46">
        <v>260.3</v>
      </c>
      <c r="AN46">
        <v>0</v>
      </c>
      <c r="AO46">
        <v>0</v>
      </c>
      <c r="AP46">
        <v>0</v>
      </c>
      <c r="AQ46">
        <v>0</v>
      </c>
    </row>
    <row r="47" spans="1:43" x14ac:dyDescent="0.25">
      <c r="A47">
        <v>46</v>
      </c>
      <c r="B47" t="s">
        <v>71</v>
      </c>
      <c r="C47" t="s">
        <v>72</v>
      </c>
      <c r="D47" t="s">
        <v>73</v>
      </c>
      <c r="E47" t="s">
        <v>74</v>
      </c>
      <c r="F47">
        <v>240414184</v>
      </c>
      <c r="G47">
        <v>6569037</v>
      </c>
      <c r="H47" t="s">
        <v>75</v>
      </c>
      <c r="I47" t="s">
        <v>76</v>
      </c>
      <c r="J47" t="s">
        <v>75</v>
      </c>
      <c r="K47" t="s">
        <v>324</v>
      </c>
      <c r="L47" t="s">
        <v>285</v>
      </c>
      <c r="M47" t="s">
        <v>285</v>
      </c>
      <c r="N47" t="s">
        <v>286</v>
      </c>
      <c r="O47" t="s">
        <v>10</v>
      </c>
      <c r="P47" t="s">
        <v>77</v>
      </c>
      <c r="Q47" t="s">
        <v>78</v>
      </c>
      <c r="R47" t="s">
        <v>143</v>
      </c>
      <c r="S47" t="s">
        <v>79</v>
      </c>
      <c r="T47">
        <v>43201</v>
      </c>
      <c r="U47" t="s">
        <v>129</v>
      </c>
      <c r="V47">
        <v>51201</v>
      </c>
      <c r="W47" t="s">
        <v>81</v>
      </c>
      <c r="X47">
        <v>240414184</v>
      </c>
      <c r="Y47" t="s">
        <v>74</v>
      </c>
      <c r="Z47">
        <v>0</v>
      </c>
      <c r="AA47" t="s">
        <v>152</v>
      </c>
      <c r="AB47">
        <v>247.95</v>
      </c>
      <c r="AC47">
        <v>-247.95</v>
      </c>
      <c r="AD47">
        <v>1.76</v>
      </c>
      <c r="AE47">
        <v>436.39</v>
      </c>
      <c r="AF47">
        <v>-436.39</v>
      </c>
      <c r="AG47">
        <v>0</v>
      </c>
      <c r="AH47">
        <v>0</v>
      </c>
      <c r="AI47">
        <v>436.39</v>
      </c>
      <c r="AJ47">
        <v>-436.39</v>
      </c>
      <c r="AK47">
        <v>0</v>
      </c>
      <c r="AL47">
        <v>-436.39</v>
      </c>
      <c r="AM47">
        <v>2424.4</v>
      </c>
      <c r="AN47">
        <v>0</v>
      </c>
      <c r="AO47">
        <v>0</v>
      </c>
      <c r="AP47">
        <v>0</v>
      </c>
      <c r="AQ47">
        <v>0</v>
      </c>
    </row>
    <row r="48" spans="1:43" x14ac:dyDescent="0.25">
      <c r="A48">
        <v>47</v>
      </c>
      <c r="B48" t="s">
        <v>71</v>
      </c>
      <c r="C48" t="s">
        <v>72</v>
      </c>
      <c r="D48" t="s">
        <v>73</v>
      </c>
      <c r="E48" t="s">
        <v>74</v>
      </c>
      <c r="F48">
        <v>240414184</v>
      </c>
      <c r="G48">
        <v>6569037</v>
      </c>
      <c r="H48" t="s">
        <v>75</v>
      </c>
      <c r="I48" t="s">
        <v>76</v>
      </c>
      <c r="J48" t="s">
        <v>75</v>
      </c>
      <c r="K48" t="s">
        <v>324</v>
      </c>
      <c r="L48" t="s">
        <v>285</v>
      </c>
      <c r="M48" t="s">
        <v>285</v>
      </c>
      <c r="N48" t="s">
        <v>286</v>
      </c>
      <c r="O48" t="s">
        <v>10</v>
      </c>
      <c r="P48" t="s">
        <v>77</v>
      </c>
      <c r="Q48" t="s">
        <v>325</v>
      </c>
      <c r="R48" t="s">
        <v>326</v>
      </c>
      <c r="S48" t="s">
        <v>84</v>
      </c>
      <c r="T48">
        <v>41201</v>
      </c>
      <c r="U48" t="s">
        <v>85</v>
      </c>
      <c r="V48">
        <v>51201</v>
      </c>
      <c r="W48" t="s">
        <v>81</v>
      </c>
      <c r="X48">
        <v>240414184</v>
      </c>
      <c r="Y48" t="s">
        <v>74</v>
      </c>
      <c r="Z48">
        <v>2</v>
      </c>
      <c r="AA48" t="s">
        <v>152</v>
      </c>
      <c r="AB48">
        <v>688.75</v>
      </c>
      <c r="AC48">
        <v>1377.5</v>
      </c>
      <c r="AD48">
        <v>1.76</v>
      </c>
      <c r="AE48">
        <v>1212.2</v>
      </c>
      <c r="AF48">
        <v>2424.4</v>
      </c>
      <c r="AG48">
        <v>650</v>
      </c>
      <c r="AH48">
        <v>1300</v>
      </c>
      <c r="AI48">
        <v>562.20000000000005</v>
      </c>
      <c r="AJ48">
        <v>1124.4000000000001</v>
      </c>
      <c r="AK48">
        <v>46.38</v>
      </c>
      <c r="AL48">
        <v>-436.39</v>
      </c>
      <c r="AM48">
        <v>2424.4</v>
      </c>
      <c r="AN48">
        <v>-436.39</v>
      </c>
      <c r="AO48">
        <v>344.005</v>
      </c>
      <c r="AP48">
        <v>688.01</v>
      </c>
      <c r="AQ48">
        <v>34.607973999999999</v>
      </c>
    </row>
    <row r="49" spans="1:43" x14ac:dyDescent="0.25">
      <c r="A49">
        <v>48</v>
      </c>
      <c r="B49" t="s">
        <v>71</v>
      </c>
      <c r="C49" t="s">
        <v>72</v>
      </c>
      <c r="D49" t="s">
        <v>73</v>
      </c>
      <c r="E49" t="s">
        <v>74</v>
      </c>
      <c r="F49">
        <v>240414256</v>
      </c>
      <c r="G49">
        <v>6569109</v>
      </c>
      <c r="H49" t="s">
        <v>75</v>
      </c>
      <c r="I49" t="s">
        <v>76</v>
      </c>
      <c r="J49" t="s">
        <v>75</v>
      </c>
      <c r="K49" t="s">
        <v>327</v>
      </c>
      <c r="L49" t="s">
        <v>285</v>
      </c>
      <c r="M49" t="s">
        <v>285</v>
      </c>
      <c r="N49" t="s">
        <v>286</v>
      </c>
      <c r="O49" t="s">
        <v>10</v>
      </c>
      <c r="P49" t="s">
        <v>77</v>
      </c>
      <c r="Q49" t="s">
        <v>268</v>
      </c>
      <c r="R49" t="s">
        <v>269</v>
      </c>
      <c r="S49" t="s">
        <v>105</v>
      </c>
      <c r="T49">
        <v>41201</v>
      </c>
      <c r="U49" t="s">
        <v>85</v>
      </c>
      <c r="V49">
        <v>51201</v>
      </c>
      <c r="W49" t="s">
        <v>81</v>
      </c>
      <c r="X49">
        <v>240414256</v>
      </c>
      <c r="Y49" t="s">
        <v>74</v>
      </c>
      <c r="Z49">
        <v>1</v>
      </c>
      <c r="AA49" t="s">
        <v>152</v>
      </c>
      <c r="AB49">
        <v>136.1</v>
      </c>
      <c r="AC49">
        <v>136.1</v>
      </c>
      <c r="AD49">
        <v>1.76</v>
      </c>
      <c r="AE49">
        <v>239.54</v>
      </c>
      <c r="AF49">
        <v>239.54</v>
      </c>
      <c r="AG49">
        <v>88.03</v>
      </c>
      <c r="AH49">
        <v>88.03</v>
      </c>
      <c r="AI49">
        <v>151.51</v>
      </c>
      <c r="AJ49">
        <v>151.51</v>
      </c>
      <c r="AK49">
        <v>63.25</v>
      </c>
      <c r="AL49">
        <v>0</v>
      </c>
      <c r="AM49">
        <v>239.54</v>
      </c>
      <c r="AN49">
        <v>0</v>
      </c>
      <c r="AO49">
        <v>151.51</v>
      </c>
      <c r="AP49">
        <v>151.51</v>
      </c>
      <c r="AQ49">
        <v>63.250396000000002</v>
      </c>
    </row>
    <row r="50" spans="1:43" x14ac:dyDescent="0.25">
      <c r="A50">
        <v>49</v>
      </c>
      <c r="B50" t="s">
        <v>71</v>
      </c>
      <c r="C50" t="s">
        <v>72</v>
      </c>
      <c r="D50" t="s">
        <v>73</v>
      </c>
      <c r="E50" t="s">
        <v>74</v>
      </c>
      <c r="F50">
        <v>240414263</v>
      </c>
      <c r="G50">
        <v>6569116</v>
      </c>
      <c r="H50" t="s">
        <v>75</v>
      </c>
      <c r="I50" t="s">
        <v>76</v>
      </c>
      <c r="J50" t="s">
        <v>75</v>
      </c>
      <c r="K50" t="s">
        <v>328</v>
      </c>
      <c r="L50" t="s">
        <v>285</v>
      </c>
      <c r="M50" t="s">
        <v>285</v>
      </c>
      <c r="N50" t="s">
        <v>286</v>
      </c>
      <c r="O50" t="s">
        <v>130</v>
      </c>
      <c r="P50" t="s">
        <v>77</v>
      </c>
      <c r="Q50" t="s">
        <v>226</v>
      </c>
      <c r="R50" t="s">
        <v>227</v>
      </c>
      <c r="S50" t="s">
        <v>84</v>
      </c>
      <c r="T50">
        <v>41201</v>
      </c>
      <c r="U50" t="s">
        <v>85</v>
      </c>
      <c r="V50">
        <v>51201</v>
      </c>
      <c r="W50" t="s">
        <v>81</v>
      </c>
      <c r="X50">
        <v>240414263</v>
      </c>
      <c r="Y50" t="s">
        <v>74</v>
      </c>
      <c r="Z50">
        <v>1</v>
      </c>
      <c r="AA50" t="s">
        <v>147</v>
      </c>
      <c r="AB50">
        <v>124</v>
      </c>
      <c r="AC50">
        <v>124</v>
      </c>
      <c r="AD50">
        <v>5.83</v>
      </c>
      <c r="AE50">
        <v>722.92</v>
      </c>
      <c r="AF50">
        <v>722.92</v>
      </c>
      <c r="AG50">
        <v>278.57</v>
      </c>
      <c r="AH50">
        <v>278.57</v>
      </c>
      <c r="AI50">
        <v>444.35</v>
      </c>
      <c r="AJ50">
        <v>444.35</v>
      </c>
      <c r="AK50">
        <v>61.47</v>
      </c>
      <c r="AL50">
        <v>-448.62</v>
      </c>
      <c r="AM50">
        <v>1993.86</v>
      </c>
      <c r="AN50">
        <v>-162.66</v>
      </c>
      <c r="AO50">
        <v>281.69</v>
      </c>
      <c r="AP50">
        <v>281.69</v>
      </c>
      <c r="AQ50">
        <v>50.278441999999998</v>
      </c>
    </row>
    <row r="51" spans="1:43" x14ac:dyDescent="0.25">
      <c r="A51">
        <v>50</v>
      </c>
      <c r="B51" t="s">
        <v>71</v>
      </c>
      <c r="C51" t="s">
        <v>72</v>
      </c>
      <c r="D51" t="s">
        <v>73</v>
      </c>
      <c r="E51" t="s">
        <v>74</v>
      </c>
      <c r="F51">
        <v>240414263</v>
      </c>
      <c r="G51">
        <v>6569116</v>
      </c>
      <c r="H51" t="s">
        <v>75</v>
      </c>
      <c r="I51" t="s">
        <v>76</v>
      </c>
      <c r="J51" t="s">
        <v>75</v>
      </c>
      <c r="K51" t="s">
        <v>328</v>
      </c>
      <c r="L51" t="s">
        <v>285</v>
      </c>
      <c r="M51" t="s">
        <v>285</v>
      </c>
      <c r="N51" t="s">
        <v>286</v>
      </c>
      <c r="O51" t="s">
        <v>130</v>
      </c>
      <c r="P51" t="s">
        <v>77</v>
      </c>
      <c r="Q51" t="s">
        <v>329</v>
      </c>
      <c r="R51" t="s">
        <v>259</v>
      </c>
      <c r="S51" t="s">
        <v>84</v>
      </c>
      <c r="T51">
        <v>41201</v>
      </c>
      <c r="U51" t="s">
        <v>85</v>
      </c>
      <c r="V51">
        <v>51201</v>
      </c>
      <c r="W51" t="s">
        <v>81</v>
      </c>
      <c r="X51">
        <v>240414263</v>
      </c>
      <c r="Y51" t="s">
        <v>74</v>
      </c>
      <c r="Z51">
        <v>1</v>
      </c>
      <c r="AA51" t="s">
        <v>147</v>
      </c>
      <c r="AB51">
        <v>218</v>
      </c>
      <c r="AC51">
        <v>218</v>
      </c>
      <c r="AD51">
        <v>5.83</v>
      </c>
      <c r="AE51">
        <v>1270.94</v>
      </c>
      <c r="AF51">
        <v>1270.94</v>
      </c>
      <c r="AG51">
        <v>510.61</v>
      </c>
      <c r="AH51">
        <v>510.61</v>
      </c>
      <c r="AI51">
        <v>760.33</v>
      </c>
      <c r="AJ51">
        <v>760.33</v>
      </c>
      <c r="AK51">
        <v>59.82</v>
      </c>
      <c r="AL51">
        <v>-448.62</v>
      </c>
      <c r="AM51">
        <v>1993.86</v>
      </c>
      <c r="AN51">
        <v>-285.95999999999998</v>
      </c>
      <c r="AO51">
        <v>474.37</v>
      </c>
      <c r="AP51">
        <v>474.37</v>
      </c>
      <c r="AQ51">
        <v>48.160367999999998</v>
      </c>
    </row>
    <row r="52" spans="1:43" x14ac:dyDescent="0.25">
      <c r="A52">
        <v>51</v>
      </c>
      <c r="B52" t="s">
        <v>71</v>
      </c>
      <c r="C52" t="s">
        <v>72</v>
      </c>
      <c r="D52" t="s">
        <v>73</v>
      </c>
      <c r="E52" t="s">
        <v>74</v>
      </c>
      <c r="F52">
        <v>240414263</v>
      </c>
      <c r="G52">
        <v>6569116</v>
      </c>
      <c r="H52" t="s">
        <v>75</v>
      </c>
      <c r="I52" t="s">
        <v>76</v>
      </c>
      <c r="J52" t="s">
        <v>75</v>
      </c>
      <c r="K52" t="s">
        <v>328</v>
      </c>
      <c r="L52" t="s">
        <v>285</v>
      </c>
      <c r="M52" t="s">
        <v>285</v>
      </c>
      <c r="N52" t="s">
        <v>286</v>
      </c>
      <c r="O52" t="s">
        <v>130</v>
      </c>
      <c r="P52" t="s">
        <v>77</v>
      </c>
      <c r="Q52" t="s">
        <v>78</v>
      </c>
      <c r="R52" t="s">
        <v>143</v>
      </c>
      <c r="S52" t="s">
        <v>79</v>
      </c>
      <c r="T52">
        <v>43201</v>
      </c>
      <c r="U52" t="s">
        <v>129</v>
      </c>
      <c r="V52">
        <v>51201</v>
      </c>
      <c r="W52" t="s">
        <v>81</v>
      </c>
      <c r="X52">
        <v>240414263</v>
      </c>
      <c r="Y52" t="s">
        <v>74</v>
      </c>
      <c r="Z52">
        <v>0</v>
      </c>
      <c r="AA52" t="s">
        <v>147</v>
      </c>
      <c r="AB52">
        <v>76.95</v>
      </c>
      <c r="AC52">
        <v>-76.95</v>
      </c>
      <c r="AD52">
        <v>5.83</v>
      </c>
      <c r="AE52">
        <v>448.62</v>
      </c>
      <c r="AF52">
        <v>-448.62</v>
      </c>
      <c r="AG52">
        <v>0</v>
      </c>
      <c r="AH52">
        <v>0</v>
      </c>
      <c r="AI52">
        <v>448.62</v>
      </c>
      <c r="AJ52">
        <v>-448.62</v>
      </c>
      <c r="AK52">
        <v>0</v>
      </c>
      <c r="AL52">
        <v>-448.62</v>
      </c>
      <c r="AM52">
        <v>1993.86</v>
      </c>
      <c r="AN52">
        <v>0</v>
      </c>
      <c r="AO52">
        <v>0</v>
      </c>
      <c r="AP52">
        <v>0</v>
      </c>
      <c r="AQ52">
        <v>0</v>
      </c>
    </row>
    <row r="53" spans="1:43" x14ac:dyDescent="0.25">
      <c r="A53">
        <v>52</v>
      </c>
      <c r="B53" t="s">
        <v>71</v>
      </c>
      <c r="C53" t="s">
        <v>72</v>
      </c>
      <c r="D53" t="s">
        <v>73</v>
      </c>
      <c r="E53" t="s">
        <v>74</v>
      </c>
      <c r="F53">
        <v>240414280</v>
      </c>
      <c r="G53">
        <v>6569133</v>
      </c>
      <c r="H53" t="s">
        <v>75</v>
      </c>
      <c r="I53" t="s">
        <v>76</v>
      </c>
      <c r="J53" t="s">
        <v>75</v>
      </c>
      <c r="K53" t="s">
        <v>330</v>
      </c>
      <c r="L53" t="s">
        <v>285</v>
      </c>
      <c r="M53" t="s">
        <v>285</v>
      </c>
      <c r="N53" t="s">
        <v>286</v>
      </c>
      <c r="O53" t="s">
        <v>131</v>
      </c>
      <c r="P53" t="s">
        <v>77</v>
      </c>
      <c r="Q53" t="s">
        <v>331</v>
      </c>
      <c r="R53" t="s">
        <v>332</v>
      </c>
      <c r="S53" t="s">
        <v>84</v>
      </c>
      <c r="T53">
        <v>41201</v>
      </c>
      <c r="U53" t="s">
        <v>85</v>
      </c>
      <c r="V53">
        <v>51201</v>
      </c>
      <c r="W53" t="s">
        <v>81</v>
      </c>
      <c r="X53">
        <v>240414280</v>
      </c>
      <c r="Y53" t="s">
        <v>74</v>
      </c>
      <c r="Z53">
        <v>1</v>
      </c>
      <c r="AA53" t="s">
        <v>144</v>
      </c>
      <c r="AB53">
        <v>2210</v>
      </c>
      <c r="AC53">
        <v>2210</v>
      </c>
      <c r="AD53">
        <v>0.13300000000000001</v>
      </c>
      <c r="AE53">
        <v>293.93</v>
      </c>
      <c r="AF53">
        <v>293.93</v>
      </c>
      <c r="AG53">
        <v>150</v>
      </c>
      <c r="AH53">
        <v>150</v>
      </c>
      <c r="AI53">
        <v>143.93</v>
      </c>
      <c r="AJ53">
        <v>143.93</v>
      </c>
      <c r="AK53">
        <v>48.97</v>
      </c>
      <c r="AL53">
        <v>0</v>
      </c>
      <c r="AM53">
        <v>293.93</v>
      </c>
      <c r="AN53">
        <v>0</v>
      </c>
      <c r="AO53">
        <v>143.93</v>
      </c>
      <c r="AP53">
        <v>143.93</v>
      </c>
      <c r="AQ53">
        <v>48.967441000000001</v>
      </c>
    </row>
    <row r="54" spans="1:43" x14ac:dyDescent="0.25">
      <c r="A54">
        <v>53</v>
      </c>
      <c r="B54" t="s">
        <v>71</v>
      </c>
      <c r="C54" t="s">
        <v>72</v>
      </c>
      <c r="D54" t="s">
        <v>73</v>
      </c>
      <c r="E54" t="s">
        <v>74</v>
      </c>
      <c r="F54">
        <v>240414287</v>
      </c>
      <c r="G54">
        <v>6569140</v>
      </c>
      <c r="H54" t="s">
        <v>75</v>
      </c>
      <c r="I54" t="s">
        <v>76</v>
      </c>
      <c r="J54" t="s">
        <v>75</v>
      </c>
      <c r="K54" t="s">
        <v>333</v>
      </c>
      <c r="L54" t="s">
        <v>285</v>
      </c>
      <c r="M54" t="s">
        <v>285</v>
      </c>
      <c r="N54" t="s">
        <v>286</v>
      </c>
      <c r="O54" t="s">
        <v>10</v>
      </c>
      <c r="P54" t="s">
        <v>77</v>
      </c>
      <c r="Q54" t="s">
        <v>334</v>
      </c>
      <c r="R54" t="s">
        <v>335</v>
      </c>
      <c r="S54" t="s">
        <v>84</v>
      </c>
      <c r="T54">
        <v>41201</v>
      </c>
      <c r="U54" t="s">
        <v>85</v>
      </c>
      <c r="V54">
        <v>51201</v>
      </c>
      <c r="W54" t="s">
        <v>81</v>
      </c>
      <c r="X54">
        <v>240414287</v>
      </c>
      <c r="Y54" t="s">
        <v>74</v>
      </c>
      <c r="Z54">
        <v>1</v>
      </c>
      <c r="AA54" t="s">
        <v>152</v>
      </c>
      <c r="AB54">
        <v>173.3</v>
      </c>
      <c r="AC54">
        <v>173.3</v>
      </c>
      <c r="AD54">
        <v>1.76</v>
      </c>
      <c r="AE54">
        <v>305.01</v>
      </c>
      <c r="AF54">
        <v>305.01</v>
      </c>
      <c r="AG54">
        <v>115.08</v>
      </c>
      <c r="AH54">
        <v>115.08</v>
      </c>
      <c r="AI54">
        <v>189.93</v>
      </c>
      <c r="AJ54">
        <v>189.93</v>
      </c>
      <c r="AK54">
        <v>62.27</v>
      </c>
      <c r="AL54">
        <v>0</v>
      </c>
      <c r="AM54">
        <v>305.01</v>
      </c>
      <c r="AN54">
        <v>0</v>
      </c>
      <c r="AO54">
        <v>189.93</v>
      </c>
      <c r="AP54">
        <v>189.93</v>
      </c>
      <c r="AQ54">
        <v>62.270088999999999</v>
      </c>
    </row>
    <row r="55" spans="1:43" x14ac:dyDescent="0.25">
      <c r="A55">
        <v>54</v>
      </c>
      <c r="B55" t="s">
        <v>71</v>
      </c>
      <c r="C55" t="s">
        <v>72</v>
      </c>
      <c r="D55" t="s">
        <v>73</v>
      </c>
      <c r="E55" t="s">
        <v>74</v>
      </c>
      <c r="F55">
        <v>240414346</v>
      </c>
      <c r="G55">
        <v>6569199</v>
      </c>
      <c r="H55" t="s">
        <v>75</v>
      </c>
      <c r="I55" t="s">
        <v>76</v>
      </c>
      <c r="J55" t="s">
        <v>75</v>
      </c>
      <c r="K55" t="s">
        <v>336</v>
      </c>
      <c r="L55" t="s">
        <v>285</v>
      </c>
      <c r="M55" t="s">
        <v>285</v>
      </c>
      <c r="N55" t="s">
        <v>286</v>
      </c>
      <c r="O55" t="s">
        <v>131</v>
      </c>
      <c r="P55" t="s">
        <v>77</v>
      </c>
      <c r="Q55" t="s">
        <v>206</v>
      </c>
      <c r="R55" t="s">
        <v>207</v>
      </c>
      <c r="S55" t="s">
        <v>105</v>
      </c>
      <c r="T55">
        <v>41201</v>
      </c>
      <c r="U55" t="s">
        <v>85</v>
      </c>
      <c r="V55">
        <v>51201</v>
      </c>
      <c r="W55" t="s">
        <v>81</v>
      </c>
      <c r="X55">
        <v>240414346</v>
      </c>
      <c r="Y55" t="s">
        <v>74</v>
      </c>
      <c r="Z55">
        <v>1</v>
      </c>
      <c r="AA55" t="s">
        <v>144</v>
      </c>
      <c r="AB55">
        <v>2500</v>
      </c>
      <c r="AC55">
        <v>2500</v>
      </c>
      <c r="AD55">
        <v>0.13300000000000001</v>
      </c>
      <c r="AE55">
        <v>332.5</v>
      </c>
      <c r="AF55">
        <v>332.5</v>
      </c>
      <c r="AG55">
        <v>175</v>
      </c>
      <c r="AH55">
        <v>175</v>
      </c>
      <c r="AI55">
        <v>157.5</v>
      </c>
      <c r="AJ55">
        <v>157.5</v>
      </c>
      <c r="AK55">
        <v>47.37</v>
      </c>
      <c r="AL55">
        <v>0</v>
      </c>
      <c r="AM55">
        <v>332.5</v>
      </c>
      <c r="AN55">
        <v>0</v>
      </c>
      <c r="AO55">
        <v>157.5</v>
      </c>
      <c r="AP55">
        <v>157.5</v>
      </c>
      <c r="AQ55">
        <v>47.368420999999998</v>
      </c>
    </row>
    <row r="56" spans="1:43" x14ac:dyDescent="0.25">
      <c r="A56">
        <v>55</v>
      </c>
      <c r="B56" t="s">
        <v>71</v>
      </c>
      <c r="C56" t="s">
        <v>72</v>
      </c>
      <c r="D56" t="s">
        <v>73</v>
      </c>
      <c r="E56" t="s">
        <v>74</v>
      </c>
      <c r="F56">
        <v>240414417</v>
      </c>
      <c r="G56">
        <v>6569270</v>
      </c>
      <c r="H56" t="s">
        <v>75</v>
      </c>
      <c r="I56" t="s">
        <v>76</v>
      </c>
      <c r="J56" t="s">
        <v>75</v>
      </c>
      <c r="K56" t="s">
        <v>337</v>
      </c>
      <c r="L56" t="s">
        <v>285</v>
      </c>
      <c r="M56" t="s">
        <v>285</v>
      </c>
      <c r="N56" t="s">
        <v>286</v>
      </c>
      <c r="O56" t="s">
        <v>132</v>
      </c>
      <c r="P56" t="s">
        <v>77</v>
      </c>
      <c r="Q56" t="s">
        <v>78</v>
      </c>
      <c r="R56" t="s">
        <v>143</v>
      </c>
      <c r="S56" t="s">
        <v>79</v>
      </c>
      <c r="T56">
        <v>43201</v>
      </c>
      <c r="U56" t="s">
        <v>129</v>
      </c>
      <c r="V56">
        <v>51201</v>
      </c>
      <c r="W56" t="s">
        <v>81</v>
      </c>
      <c r="X56">
        <v>240414417</v>
      </c>
      <c r="Y56" t="s">
        <v>74</v>
      </c>
      <c r="Z56">
        <v>0</v>
      </c>
      <c r="AA56" t="s">
        <v>123</v>
      </c>
      <c r="AB56">
        <v>40.049999999999997</v>
      </c>
      <c r="AC56">
        <v>0</v>
      </c>
      <c r="AD56">
        <v>0</v>
      </c>
      <c r="AE56">
        <v>40.049999999999997</v>
      </c>
      <c r="AF56">
        <v>-40.049999999999997</v>
      </c>
      <c r="AG56">
        <v>0</v>
      </c>
      <c r="AH56">
        <v>0</v>
      </c>
      <c r="AI56">
        <v>40.049999999999997</v>
      </c>
      <c r="AJ56">
        <v>-40.049999999999997</v>
      </c>
      <c r="AK56">
        <v>0</v>
      </c>
      <c r="AL56">
        <v>-40.049999999999997</v>
      </c>
      <c r="AM56">
        <v>178</v>
      </c>
      <c r="AN56">
        <v>0</v>
      </c>
      <c r="AO56">
        <v>0</v>
      </c>
      <c r="AP56">
        <v>0</v>
      </c>
      <c r="AQ56">
        <v>0</v>
      </c>
    </row>
    <row r="57" spans="1:43" x14ac:dyDescent="0.25">
      <c r="A57">
        <v>56</v>
      </c>
      <c r="B57" t="s">
        <v>71</v>
      </c>
      <c r="C57" t="s">
        <v>72</v>
      </c>
      <c r="D57" t="s">
        <v>73</v>
      </c>
      <c r="E57" t="s">
        <v>74</v>
      </c>
      <c r="F57">
        <v>240414417</v>
      </c>
      <c r="G57">
        <v>6569270</v>
      </c>
      <c r="H57" t="s">
        <v>75</v>
      </c>
      <c r="I57" t="s">
        <v>76</v>
      </c>
      <c r="J57" t="s">
        <v>75</v>
      </c>
      <c r="K57" t="s">
        <v>337</v>
      </c>
      <c r="L57" t="s">
        <v>285</v>
      </c>
      <c r="M57" t="s">
        <v>285</v>
      </c>
      <c r="N57" t="s">
        <v>286</v>
      </c>
      <c r="O57" t="s">
        <v>132</v>
      </c>
      <c r="P57" t="s">
        <v>77</v>
      </c>
      <c r="Q57" t="s">
        <v>338</v>
      </c>
      <c r="R57" t="s">
        <v>339</v>
      </c>
      <c r="S57" t="s">
        <v>105</v>
      </c>
      <c r="T57">
        <v>41201</v>
      </c>
      <c r="U57" t="s">
        <v>85</v>
      </c>
      <c r="V57">
        <v>51201</v>
      </c>
      <c r="W57" t="s">
        <v>81</v>
      </c>
      <c r="X57">
        <v>240414417</v>
      </c>
      <c r="Y57" t="s">
        <v>74</v>
      </c>
      <c r="Z57">
        <v>1</v>
      </c>
      <c r="AA57" t="s">
        <v>123</v>
      </c>
      <c r="AB57">
        <v>178</v>
      </c>
      <c r="AC57">
        <v>0</v>
      </c>
      <c r="AD57">
        <v>0</v>
      </c>
      <c r="AE57">
        <v>178</v>
      </c>
      <c r="AF57">
        <v>178</v>
      </c>
      <c r="AG57">
        <v>55.63</v>
      </c>
      <c r="AH57">
        <v>55.63</v>
      </c>
      <c r="AI57">
        <v>122.37</v>
      </c>
      <c r="AJ57">
        <v>122.37</v>
      </c>
      <c r="AK57">
        <v>68.75</v>
      </c>
      <c r="AL57">
        <v>-40.049999999999997</v>
      </c>
      <c r="AM57">
        <v>178</v>
      </c>
      <c r="AN57">
        <v>-40.049999999999997</v>
      </c>
      <c r="AO57">
        <v>82.32</v>
      </c>
      <c r="AP57">
        <v>82.32</v>
      </c>
      <c r="AQ57">
        <v>59.673794000000001</v>
      </c>
    </row>
    <row r="58" spans="1:43" x14ac:dyDescent="0.25">
      <c r="A58">
        <v>57</v>
      </c>
      <c r="B58" t="s">
        <v>71</v>
      </c>
      <c r="C58" t="s">
        <v>72</v>
      </c>
      <c r="D58" t="s">
        <v>73</v>
      </c>
      <c r="E58" t="s">
        <v>74</v>
      </c>
      <c r="F58">
        <v>240414444</v>
      </c>
      <c r="G58">
        <v>6569297</v>
      </c>
      <c r="H58" t="s">
        <v>75</v>
      </c>
      <c r="I58" t="s">
        <v>76</v>
      </c>
      <c r="J58" t="s">
        <v>75</v>
      </c>
      <c r="K58" t="s">
        <v>340</v>
      </c>
      <c r="L58" t="s">
        <v>285</v>
      </c>
      <c r="M58" t="s">
        <v>285</v>
      </c>
      <c r="N58" t="s">
        <v>286</v>
      </c>
      <c r="O58" t="s">
        <v>130</v>
      </c>
      <c r="P58" t="s">
        <v>77</v>
      </c>
      <c r="Q58" t="s">
        <v>78</v>
      </c>
      <c r="R58" t="s">
        <v>143</v>
      </c>
      <c r="S58" t="s">
        <v>79</v>
      </c>
      <c r="T58">
        <v>43201</v>
      </c>
      <c r="U58" t="s">
        <v>129</v>
      </c>
      <c r="V58">
        <v>51201</v>
      </c>
      <c r="W58" t="s">
        <v>81</v>
      </c>
      <c r="X58">
        <v>240414444</v>
      </c>
      <c r="Y58" t="s">
        <v>74</v>
      </c>
      <c r="Z58">
        <v>0</v>
      </c>
      <c r="AA58" t="s">
        <v>147</v>
      </c>
      <c r="AB58">
        <v>31.05</v>
      </c>
      <c r="AC58">
        <v>-31.05</v>
      </c>
      <c r="AD58">
        <v>5.83</v>
      </c>
      <c r="AE58">
        <v>181.02</v>
      </c>
      <c r="AF58">
        <v>-181.02</v>
      </c>
      <c r="AG58">
        <v>0</v>
      </c>
      <c r="AH58">
        <v>0</v>
      </c>
      <c r="AI58">
        <v>181.02</v>
      </c>
      <c r="AJ58">
        <v>-181.02</v>
      </c>
      <c r="AK58">
        <v>0</v>
      </c>
      <c r="AL58">
        <v>-181.02</v>
      </c>
      <c r="AM58">
        <v>804.54</v>
      </c>
      <c r="AN58">
        <v>0</v>
      </c>
      <c r="AO58">
        <v>0</v>
      </c>
      <c r="AP58">
        <v>0</v>
      </c>
      <c r="AQ58">
        <v>0</v>
      </c>
    </row>
    <row r="59" spans="1:43" x14ac:dyDescent="0.25">
      <c r="A59">
        <v>58</v>
      </c>
      <c r="B59" t="s">
        <v>71</v>
      </c>
      <c r="C59" t="s">
        <v>72</v>
      </c>
      <c r="D59" t="s">
        <v>73</v>
      </c>
      <c r="E59" t="s">
        <v>74</v>
      </c>
      <c r="F59">
        <v>240414444</v>
      </c>
      <c r="G59">
        <v>6569297</v>
      </c>
      <c r="H59" t="s">
        <v>75</v>
      </c>
      <c r="I59" t="s">
        <v>76</v>
      </c>
      <c r="J59" t="s">
        <v>75</v>
      </c>
      <c r="K59" t="s">
        <v>340</v>
      </c>
      <c r="L59" t="s">
        <v>285</v>
      </c>
      <c r="M59" t="s">
        <v>285</v>
      </c>
      <c r="N59" t="s">
        <v>286</v>
      </c>
      <c r="O59" t="s">
        <v>130</v>
      </c>
      <c r="P59" t="s">
        <v>77</v>
      </c>
      <c r="Q59" t="s">
        <v>98</v>
      </c>
      <c r="R59" t="s">
        <v>99</v>
      </c>
      <c r="S59" t="s">
        <v>84</v>
      </c>
      <c r="T59">
        <v>41201</v>
      </c>
      <c r="U59" t="s">
        <v>85</v>
      </c>
      <c r="V59">
        <v>51201</v>
      </c>
      <c r="W59" t="s">
        <v>81</v>
      </c>
      <c r="X59">
        <v>240414444</v>
      </c>
      <c r="Y59" t="s">
        <v>74</v>
      </c>
      <c r="Z59">
        <v>1</v>
      </c>
      <c r="AA59" t="s">
        <v>147</v>
      </c>
      <c r="AB59">
        <v>138</v>
      </c>
      <c r="AC59">
        <v>138</v>
      </c>
      <c r="AD59">
        <v>5.83</v>
      </c>
      <c r="AE59">
        <v>804.54</v>
      </c>
      <c r="AF59">
        <v>804.54</v>
      </c>
      <c r="AG59">
        <v>322</v>
      </c>
      <c r="AH59">
        <v>322</v>
      </c>
      <c r="AI59">
        <v>482.54</v>
      </c>
      <c r="AJ59">
        <v>482.54</v>
      </c>
      <c r="AK59">
        <v>59.98</v>
      </c>
      <c r="AL59">
        <v>-181.02</v>
      </c>
      <c r="AM59">
        <v>804.54</v>
      </c>
      <c r="AN59">
        <v>-181.02</v>
      </c>
      <c r="AO59">
        <v>301.52</v>
      </c>
      <c r="AP59">
        <v>301.52</v>
      </c>
      <c r="AQ59">
        <v>48.357711000000002</v>
      </c>
    </row>
    <row r="60" spans="1:43" x14ac:dyDescent="0.25">
      <c r="A60">
        <v>59</v>
      </c>
      <c r="B60" t="s">
        <v>71</v>
      </c>
      <c r="C60" t="s">
        <v>72</v>
      </c>
      <c r="D60" t="s">
        <v>73</v>
      </c>
      <c r="E60" t="s">
        <v>74</v>
      </c>
      <c r="F60">
        <v>240414548</v>
      </c>
      <c r="G60">
        <v>6569411</v>
      </c>
      <c r="H60" t="s">
        <v>86</v>
      </c>
      <c r="I60" t="s">
        <v>76</v>
      </c>
      <c r="J60" t="s">
        <v>86</v>
      </c>
      <c r="K60" t="s">
        <v>341</v>
      </c>
      <c r="L60" t="s">
        <v>285</v>
      </c>
      <c r="M60" t="s">
        <v>285</v>
      </c>
      <c r="N60" t="s">
        <v>286</v>
      </c>
      <c r="O60" t="s">
        <v>10</v>
      </c>
      <c r="P60" t="s">
        <v>77</v>
      </c>
      <c r="Q60" t="s">
        <v>107</v>
      </c>
      <c r="R60" t="s">
        <v>291</v>
      </c>
      <c r="S60" t="s">
        <v>84</v>
      </c>
      <c r="T60">
        <v>41201</v>
      </c>
      <c r="U60" t="s">
        <v>85</v>
      </c>
      <c r="V60">
        <v>51201</v>
      </c>
      <c r="W60" t="s">
        <v>81</v>
      </c>
      <c r="X60">
        <v>240414548</v>
      </c>
      <c r="Y60" t="s">
        <v>74</v>
      </c>
      <c r="Z60">
        <v>2</v>
      </c>
      <c r="AA60" t="s">
        <v>152</v>
      </c>
      <c r="AB60">
        <v>44.15</v>
      </c>
      <c r="AC60">
        <v>88.3</v>
      </c>
      <c r="AD60">
        <v>1.76</v>
      </c>
      <c r="AE60">
        <v>77.704999999999998</v>
      </c>
      <c r="AF60">
        <v>155.41</v>
      </c>
      <c r="AG60">
        <v>25</v>
      </c>
      <c r="AH60">
        <v>50</v>
      </c>
      <c r="AI60">
        <v>52.71</v>
      </c>
      <c r="AJ60">
        <v>105.41</v>
      </c>
      <c r="AK60">
        <v>67.83</v>
      </c>
      <c r="AL60">
        <v>-27.97</v>
      </c>
      <c r="AM60">
        <v>155.41</v>
      </c>
      <c r="AN60">
        <v>-27.97</v>
      </c>
      <c r="AO60">
        <v>38.72</v>
      </c>
      <c r="AP60">
        <v>77.44</v>
      </c>
      <c r="AQ60">
        <v>60.76585</v>
      </c>
    </row>
    <row r="61" spans="1:43" x14ac:dyDescent="0.25">
      <c r="A61">
        <v>60</v>
      </c>
      <c r="B61" t="s">
        <v>71</v>
      </c>
      <c r="C61" t="s">
        <v>72</v>
      </c>
      <c r="D61" t="s">
        <v>73</v>
      </c>
      <c r="E61" t="s">
        <v>74</v>
      </c>
      <c r="F61">
        <v>240414548</v>
      </c>
      <c r="G61">
        <v>6569411</v>
      </c>
      <c r="H61" t="s">
        <v>86</v>
      </c>
      <c r="I61" t="s">
        <v>76</v>
      </c>
      <c r="J61" t="s">
        <v>86</v>
      </c>
      <c r="K61" t="s">
        <v>341</v>
      </c>
      <c r="L61" t="s">
        <v>285</v>
      </c>
      <c r="M61" t="s">
        <v>285</v>
      </c>
      <c r="N61" t="s">
        <v>286</v>
      </c>
      <c r="O61" t="s">
        <v>10</v>
      </c>
      <c r="P61" t="s">
        <v>77</v>
      </c>
      <c r="Q61" t="s">
        <v>78</v>
      </c>
      <c r="R61" t="s">
        <v>143</v>
      </c>
      <c r="S61" t="s">
        <v>79</v>
      </c>
      <c r="T61">
        <v>43201</v>
      </c>
      <c r="U61" t="s">
        <v>129</v>
      </c>
      <c r="V61">
        <v>51201</v>
      </c>
      <c r="W61" t="s">
        <v>81</v>
      </c>
      <c r="X61">
        <v>240414548</v>
      </c>
      <c r="Y61" t="s">
        <v>74</v>
      </c>
      <c r="Z61">
        <v>0</v>
      </c>
      <c r="AA61" t="s">
        <v>152</v>
      </c>
      <c r="AB61">
        <v>15.89</v>
      </c>
      <c r="AC61">
        <v>-15.89</v>
      </c>
      <c r="AD61">
        <v>1.76</v>
      </c>
      <c r="AE61">
        <v>27.97</v>
      </c>
      <c r="AF61">
        <v>-27.97</v>
      </c>
      <c r="AG61">
        <v>0</v>
      </c>
      <c r="AH61">
        <v>0</v>
      </c>
      <c r="AI61">
        <v>27.97</v>
      </c>
      <c r="AJ61">
        <v>-27.97</v>
      </c>
      <c r="AK61">
        <v>0</v>
      </c>
      <c r="AL61">
        <v>-27.97</v>
      </c>
      <c r="AM61">
        <v>155.41</v>
      </c>
      <c r="AN61">
        <v>0</v>
      </c>
      <c r="AO61">
        <v>0</v>
      </c>
      <c r="AP61">
        <v>0</v>
      </c>
      <c r="AQ61">
        <v>0</v>
      </c>
    </row>
    <row r="62" spans="1:43" x14ac:dyDescent="0.25">
      <c r="A62">
        <v>61</v>
      </c>
      <c r="B62" t="s">
        <v>71</v>
      </c>
      <c r="C62" t="s">
        <v>72</v>
      </c>
      <c r="D62" t="s">
        <v>73</v>
      </c>
      <c r="E62" t="s">
        <v>74</v>
      </c>
      <c r="F62">
        <v>240414719</v>
      </c>
      <c r="G62">
        <v>6569586</v>
      </c>
      <c r="H62" t="s">
        <v>86</v>
      </c>
      <c r="I62" t="s">
        <v>76</v>
      </c>
      <c r="J62" t="s">
        <v>86</v>
      </c>
      <c r="K62" t="s">
        <v>342</v>
      </c>
      <c r="L62" t="s">
        <v>285</v>
      </c>
      <c r="M62" t="s">
        <v>285</v>
      </c>
      <c r="N62" t="s">
        <v>286</v>
      </c>
      <c r="O62" t="s">
        <v>132</v>
      </c>
      <c r="P62" t="s">
        <v>77</v>
      </c>
      <c r="Q62" t="s">
        <v>278</v>
      </c>
      <c r="R62" t="s">
        <v>279</v>
      </c>
      <c r="S62" t="s">
        <v>84</v>
      </c>
      <c r="T62">
        <v>41201</v>
      </c>
      <c r="U62" t="s">
        <v>85</v>
      </c>
      <c r="V62">
        <v>51201</v>
      </c>
      <c r="W62" t="s">
        <v>81</v>
      </c>
      <c r="X62">
        <v>240414719</v>
      </c>
      <c r="Y62" t="s">
        <v>74</v>
      </c>
      <c r="Z62">
        <v>1</v>
      </c>
      <c r="AA62" t="s">
        <v>123</v>
      </c>
      <c r="AB62">
        <v>1865</v>
      </c>
      <c r="AC62">
        <v>0</v>
      </c>
      <c r="AD62">
        <v>0</v>
      </c>
      <c r="AE62">
        <v>1865</v>
      </c>
      <c r="AF62">
        <v>1865</v>
      </c>
      <c r="AG62">
        <v>902</v>
      </c>
      <c r="AH62">
        <v>902</v>
      </c>
      <c r="AI62">
        <v>963</v>
      </c>
      <c r="AJ62">
        <v>963</v>
      </c>
      <c r="AK62">
        <v>51.64</v>
      </c>
      <c r="AL62">
        <v>-419.63</v>
      </c>
      <c r="AM62">
        <v>1865</v>
      </c>
      <c r="AN62">
        <v>-419.63</v>
      </c>
      <c r="AO62">
        <v>543.37</v>
      </c>
      <c r="AP62">
        <v>543.37</v>
      </c>
      <c r="AQ62">
        <v>37.593834000000001</v>
      </c>
    </row>
    <row r="63" spans="1:43" x14ac:dyDescent="0.25">
      <c r="A63">
        <v>62</v>
      </c>
      <c r="B63" t="s">
        <v>71</v>
      </c>
      <c r="C63" t="s">
        <v>72</v>
      </c>
      <c r="D63" t="s">
        <v>73</v>
      </c>
      <c r="E63" t="s">
        <v>74</v>
      </c>
      <c r="F63">
        <v>240414719</v>
      </c>
      <c r="G63">
        <v>6569586</v>
      </c>
      <c r="H63" t="s">
        <v>86</v>
      </c>
      <c r="I63" t="s">
        <v>76</v>
      </c>
      <c r="J63" t="s">
        <v>86</v>
      </c>
      <c r="K63" t="s">
        <v>342</v>
      </c>
      <c r="L63" t="s">
        <v>285</v>
      </c>
      <c r="M63" t="s">
        <v>285</v>
      </c>
      <c r="N63" t="s">
        <v>286</v>
      </c>
      <c r="O63" t="s">
        <v>132</v>
      </c>
      <c r="P63" t="s">
        <v>77</v>
      </c>
      <c r="Q63" t="s">
        <v>78</v>
      </c>
      <c r="R63" t="s">
        <v>143</v>
      </c>
      <c r="S63" t="s">
        <v>79</v>
      </c>
      <c r="T63">
        <v>43201</v>
      </c>
      <c r="U63" t="s">
        <v>129</v>
      </c>
      <c r="V63">
        <v>51201</v>
      </c>
      <c r="W63" t="s">
        <v>81</v>
      </c>
      <c r="X63">
        <v>240414719</v>
      </c>
      <c r="Y63" t="s">
        <v>74</v>
      </c>
      <c r="Z63">
        <v>0</v>
      </c>
      <c r="AA63" t="s">
        <v>123</v>
      </c>
      <c r="AB63">
        <v>419.63</v>
      </c>
      <c r="AC63">
        <v>0</v>
      </c>
      <c r="AD63">
        <v>0</v>
      </c>
      <c r="AE63">
        <v>419.63</v>
      </c>
      <c r="AF63">
        <v>-419.63</v>
      </c>
      <c r="AG63">
        <v>0</v>
      </c>
      <c r="AH63">
        <v>0</v>
      </c>
      <c r="AI63">
        <v>419.63</v>
      </c>
      <c r="AJ63">
        <v>-419.63</v>
      </c>
      <c r="AK63">
        <v>0</v>
      </c>
      <c r="AL63">
        <v>-419.63</v>
      </c>
      <c r="AM63">
        <v>1865</v>
      </c>
      <c r="AN63">
        <v>0</v>
      </c>
      <c r="AO63">
        <v>0</v>
      </c>
      <c r="AP63">
        <v>0</v>
      </c>
      <c r="AQ63">
        <v>0</v>
      </c>
    </row>
    <row r="64" spans="1:43" x14ac:dyDescent="0.25">
      <c r="A64">
        <v>63</v>
      </c>
      <c r="B64" t="s">
        <v>71</v>
      </c>
      <c r="C64" t="s">
        <v>72</v>
      </c>
      <c r="D64" t="s">
        <v>73</v>
      </c>
      <c r="E64" t="s">
        <v>74</v>
      </c>
      <c r="F64">
        <v>240415208</v>
      </c>
      <c r="G64">
        <v>6570075</v>
      </c>
      <c r="H64" t="s">
        <v>86</v>
      </c>
      <c r="I64" t="s">
        <v>76</v>
      </c>
      <c r="J64" t="s">
        <v>86</v>
      </c>
      <c r="K64" t="s">
        <v>343</v>
      </c>
      <c r="L64" t="s">
        <v>285</v>
      </c>
      <c r="M64" t="s">
        <v>285</v>
      </c>
      <c r="N64" t="s">
        <v>286</v>
      </c>
      <c r="O64" t="s">
        <v>10</v>
      </c>
      <c r="P64" t="s">
        <v>77</v>
      </c>
      <c r="Q64" t="s">
        <v>322</v>
      </c>
      <c r="R64" t="s">
        <v>323</v>
      </c>
      <c r="S64" t="s">
        <v>84</v>
      </c>
      <c r="T64">
        <v>41201</v>
      </c>
      <c r="U64" t="s">
        <v>85</v>
      </c>
      <c r="V64">
        <v>51201</v>
      </c>
      <c r="W64" t="s">
        <v>81</v>
      </c>
      <c r="X64">
        <v>240415208</v>
      </c>
      <c r="Y64" t="s">
        <v>74</v>
      </c>
      <c r="Z64">
        <v>1</v>
      </c>
      <c r="AA64" t="s">
        <v>152</v>
      </c>
      <c r="AB64">
        <v>147.9</v>
      </c>
      <c r="AC64">
        <v>147.9</v>
      </c>
      <c r="AD64">
        <v>1.76</v>
      </c>
      <c r="AE64">
        <v>260.3</v>
      </c>
      <c r="AF64">
        <v>260.3</v>
      </c>
      <c r="AG64">
        <v>91.15</v>
      </c>
      <c r="AH64">
        <v>91.15</v>
      </c>
      <c r="AI64">
        <v>169.15</v>
      </c>
      <c r="AJ64">
        <v>169.15</v>
      </c>
      <c r="AK64">
        <v>64.98</v>
      </c>
      <c r="AL64">
        <v>-46.85</v>
      </c>
      <c r="AM64">
        <v>260.3</v>
      </c>
      <c r="AN64">
        <v>-46.85</v>
      </c>
      <c r="AO64">
        <v>122.3</v>
      </c>
      <c r="AP64">
        <v>122.3</v>
      </c>
      <c r="AQ64">
        <v>57.296790000000001</v>
      </c>
    </row>
    <row r="65" spans="1:43" x14ac:dyDescent="0.25">
      <c r="A65">
        <v>64</v>
      </c>
      <c r="B65" t="s">
        <v>71</v>
      </c>
      <c r="C65" t="s">
        <v>72</v>
      </c>
      <c r="D65" t="s">
        <v>73</v>
      </c>
      <c r="E65" t="s">
        <v>74</v>
      </c>
      <c r="F65">
        <v>240415208</v>
      </c>
      <c r="G65">
        <v>6570075</v>
      </c>
      <c r="H65" t="s">
        <v>86</v>
      </c>
      <c r="I65" t="s">
        <v>76</v>
      </c>
      <c r="J65" t="s">
        <v>86</v>
      </c>
      <c r="K65" t="s">
        <v>343</v>
      </c>
      <c r="L65" t="s">
        <v>285</v>
      </c>
      <c r="M65" t="s">
        <v>285</v>
      </c>
      <c r="N65" t="s">
        <v>286</v>
      </c>
      <c r="O65" t="s">
        <v>10</v>
      </c>
      <c r="P65" t="s">
        <v>77</v>
      </c>
      <c r="Q65" t="s">
        <v>78</v>
      </c>
      <c r="R65" t="s">
        <v>143</v>
      </c>
      <c r="S65" t="s">
        <v>79</v>
      </c>
      <c r="T65">
        <v>43201</v>
      </c>
      <c r="U65" t="s">
        <v>129</v>
      </c>
      <c r="V65">
        <v>51201</v>
      </c>
      <c r="W65" t="s">
        <v>81</v>
      </c>
      <c r="X65">
        <v>240415208</v>
      </c>
      <c r="Y65" t="s">
        <v>74</v>
      </c>
      <c r="Z65">
        <v>0</v>
      </c>
      <c r="AA65" t="s">
        <v>152</v>
      </c>
      <c r="AB65">
        <v>26.62</v>
      </c>
      <c r="AC65">
        <v>-26.62</v>
      </c>
      <c r="AD65">
        <v>1.76</v>
      </c>
      <c r="AE65">
        <v>46.85</v>
      </c>
      <c r="AF65">
        <v>-46.85</v>
      </c>
      <c r="AG65">
        <v>0</v>
      </c>
      <c r="AH65">
        <v>0</v>
      </c>
      <c r="AI65">
        <v>46.85</v>
      </c>
      <c r="AJ65">
        <v>-46.85</v>
      </c>
      <c r="AK65">
        <v>0</v>
      </c>
      <c r="AL65">
        <v>-46.85</v>
      </c>
      <c r="AM65">
        <v>260.3</v>
      </c>
      <c r="AN65">
        <v>0</v>
      </c>
      <c r="AO65">
        <v>0</v>
      </c>
      <c r="AP65">
        <v>0</v>
      </c>
      <c r="AQ65">
        <v>0</v>
      </c>
    </row>
    <row r="66" spans="1:43" x14ac:dyDescent="0.25">
      <c r="A66">
        <v>65</v>
      </c>
      <c r="B66" t="s">
        <v>71</v>
      </c>
      <c r="C66" t="s">
        <v>72</v>
      </c>
      <c r="D66" t="s">
        <v>73</v>
      </c>
      <c r="E66" t="s">
        <v>74</v>
      </c>
      <c r="F66">
        <v>240415300</v>
      </c>
      <c r="G66">
        <v>6570167</v>
      </c>
      <c r="H66" t="s">
        <v>86</v>
      </c>
      <c r="I66" t="s">
        <v>76</v>
      </c>
      <c r="J66" t="s">
        <v>86</v>
      </c>
      <c r="K66" t="s">
        <v>344</v>
      </c>
      <c r="L66" t="s">
        <v>285</v>
      </c>
      <c r="M66" t="s">
        <v>285</v>
      </c>
      <c r="N66" t="s">
        <v>286</v>
      </c>
      <c r="O66" t="s">
        <v>10</v>
      </c>
      <c r="P66" t="s">
        <v>77</v>
      </c>
      <c r="Q66" t="s">
        <v>161</v>
      </c>
      <c r="R66" t="s">
        <v>162</v>
      </c>
      <c r="S66" t="s">
        <v>84</v>
      </c>
      <c r="T66">
        <v>41201</v>
      </c>
      <c r="U66" t="s">
        <v>85</v>
      </c>
      <c r="V66">
        <v>51201</v>
      </c>
      <c r="W66" t="s">
        <v>81</v>
      </c>
      <c r="X66">
        <v>240415300</v>
      </c>
      <c r="Y66" t="s">
        <v>74</v>
      </c>
      <c r="Z66">
        <v>1</v>
      </c>
      <c r="AA66" t="s">
        <v>152</v>
      </c>
      <c r="AB66">
        <v>240</v>
      </c>
      <c r="AC66">
        <v>240</v>
      </c>
      <c r="AD66">
        <v>1.76</v>
      </c>
      <c r="AE66">
        <v>422.4</v>
      </c>
      <c r="AF66">
        <v>422.4</v>
      </c>
      <c r="AG66">
        <v>178.71</v>
      </c>
      <c r="AH66">
        <v>178.71</v>
      </c>
      <c r="AI66">
        <v>243.69</v>
      </c>
      <c r="AJ66">
        <v>243.69</v>
      </c>
      <c r="AK66">
        <v>57.69</v>
      </c>
      <c r="AL66">
        <v>-76.03</v>
      </c>
      <c r="AM66">
        <v>422.4</v>
      </c>
      <c r="AN66">
        <v>-76.03</v>
      </c>
      <c r="AO66">
        <v>167.66</v>
      </c>
      <c r="AP66">
        <v>167.66</v>
      </c>
      <c r="AQ66">
        <v>48.404884000000003</v>
      </c>
    </row>
    <row r="67" spans="1:43" x14ac:dyDescent="0.25">
      <c r="A67">
        <v>66</v>
      </c>
      <c r="B67" t="s">
        <v>71</v>
      </c>
      <c r="C67" t="s">
        <v>72</v>
      </c>
      <c r="D67" t="s">
        <v>73</v>
      </c>
      <c r="E67" t="s">
        <v>74</v>
      </c>
      <c r="F67">
        <v>240415300</v>
      </c>
      <c r="G67">
        <v>6570167</v>
      </c>
      <c r="H67" t="s">
        <v>86</v>
      </c>
      <c r="I67" t="s">
        <v>76</v>
      </c>
      <c r="J67" t="s">
        <v>86</v>
      </c>
      <c r="K67" t="s">
        <v>344</v>
      </c>
      <c r="L67" t="s">
        <v>285</v>
      </c>
      <c r="M67" t="s">
        <v>285</v>
      </c>
      <c r="N67" t="s">
        <v>286</v>
      </c>
      <c r="O67" t="s">
        <v>10</v>
      </c>
      <c r="P67" t="s">
        <v>77</v>
      </c>
      <c r="Q67" t="s">
        <v>78</v>
      </c>
      <c r="R67" t="s">
        <v>143</v>
      </c>
      <c r="S67" t="s">
        <v>79</v>
      </c>
      <c r="T67">
        <v>43201</v>
      </c>
      <c r="U67" t="s">
        <v>129</v>
      </c>
      <c r="V67">
        <v>51201</v>
      </c>
      <c r="W67" t="s">
        <v>81</v>
      </c>
      <c r="X67">
        <v>240415300</v>
      </c>
      <c r="Y67" t="s">
        <v>74</v>
      </c>
      <c r="Z67">
        <v>0</v>
      </c>
      <c r="AA67" t="s">
        <v>152</v>
      </c>
      <c r="AB67">
        <v>43.2</v>
      </c>
      <c r="AC67">
        <v>-43.2</v>
      </c>
      <c r="AD67">
        <v>1.76</v>
      </c>
      <c r="AE67">
        <v>76.03</v>
      </c>
      <c r="AF67">
        <v>-76.03</v>
      </c>
      <c r="AG67">
        <v>0</v>
      </c>
      <c r="AH67">
        <v>0</v>
      </c>
      <c r="AI67">
        <v>76.03</v>
      </c>
      <c r="AJ67">
        <v>-76.03</v>
      </c>
      <c r="AK67">
        <v>0</v>
      </c>
      <c r="AL67">
        <v>-76.03</v>
      </c>
      <c r="AM67">
        <v>422.4</v>
      </c>
      <c r="AN67">
        <v>0</v>
      </c>
      <c r="AO67">
        <v>0</v>
      </c>
      <c r="AP67">
        <v>0</v>
      </c>
      <c r="AQ67">
        <v>0</v>
      </c>
    </row>
    <row r="68" spans="1:43" x14ac:dyDescent="0.25">
      <c r="A68">
        <v>67</v>
      </c>
      <c r="B68" t="s">
        <v>71</v>
      </c>
      <c r="C68" t="s">
        <v>72</v>
      </c>
      <c r="D68" t="s">
        <v>73</v>
      </c>
      <c r="E68" t="s">
        <v>74</v>
      </c>
      <c r="F68">
        <v>240415400</v>
      </c>
      <c r="G68">
        <v>6570267</v>
      </c>
      <c r="H68" t="s">
        <v>86</v>
      </c>
      <c r="I68" t="s">
        <v>76</v>
      </c>
      <c r="J68" t="s">
        <v>86</v>
      </c>
      <c r="K68" t="s">
        <v>345</v>
      </c>
      <c r="L68" t="s">
        <v>285</v>
      </c>
      <c r="M68" t="s">
        <v>285</v>
      </c>
      <c r="N68" t="s">
        <v>286</v>
      </c>
      <c r="O68" t="s">
        <v>132</v>
      </c>
      <c r="P68" t="s">
        <v>77</v>
      </c>
      <c r="Q68" t="s">
        <v>346</v>
      </c>
      <c r="R68" t="s">
        <v>347</v>
      </c>
      <c r="S68" t="s">
        <v>84</v>
      </c>
      <c r="T68">
        <v>41201</v>
      </c>
      <c r="U68" t="s">
        <v>85</v>
      </c>
      <c r="V68">
        <v>51201</v>
      </c>
      <c r="W68" t="s">
        <v>81</v>
      </c>
      <c r="X68">
        <v>240415400</v>
      </c>
      <c r="Y68" t="s">
        <v>74</v>
      </c>
      <c r="Z68">
        <v>1</v>
      </c>
      <c r="AA68" t="s">
        <v>123</v>
      </c>
      <c r="AB68">
        <v>720</v>
      </c>
      <c r="AC68">
        <v>0</v>
      </c>
      <c r="AD68">
        <v>0</v>
      </c>
      <c r="AE68">
        <v>720</v>
      </c>
      <c r="AF68">
        <v>720</v>
      </c>
      <c r="AG68">
        <v>330</v>
      </c>
      <c r="AH68">
        <v>330</v>
      </c>
      <c r="AI68">
        <v>390</v>
      </c>
      <c r="AJ68">
        <v>390</v>
      </c>
      <c r="AK68">
        <v>54.17</v>
      </c>
      <c r="AL68">
        <v>-162</v>
      </c>
      <c r="AM68">
        <v>720</v>
      </c>
      <c r="AN68">
        <v>-162</v>
      </c>
      <c r="AO68">
        <v>228</v>
      </c>
      <c r="AP68">
        <v>228</v>
      </c>
      <c r="AQ68">
        <v>40.860214999999997</v>
      </c>
    </row>
    <row r="69" spans="1:43" x14ac:dyDescent="0.25">
      <c r="A69">
        <v>68</v>
      </c>
      <c r="B69" t="s">
        <v>71</v>
      </c>
      <c r="C69" t="s">
        <v>72</v>
      </c>
      <c r="D69" t="s">
        <v>73</v>
      </c>
      <c r="E69" t="s">
        <v>74</v>
      </c>
      <c r="F69">
        <v>240415400</v>
      </c>
      <c r="G69">
        <v>6570267</v>
      </c>
      <c r="H69" t="s">
        <v>86</v>
      </c>
      <c r="I69" t="s">
        <v>76</v>
      </c>
      <c r="J69" t="s">
        <v>86</v>
      </c>
      <c r="K69" t="s">
        <v>345</v>
      </c>
      <c r="L69" t="s">
        <v>285</v>
      </c>
      <c r="M69" t="s">
        <v>285</v>
      </c>
      <c r="N69" t="s">
        <v>286</v>
      </c>
      <c r="O69" t="s">
        <v>132</v>
      </c>
      <c r="P69" t="s">
        <v>77</v>
      </c>
      <c r="Q69" t="s">
        <v>78</v>
      </c>
      <c r="R69" t="s">
        <v>143</v>
      </c>
      <c r="S69" t="s">
        <v>79</v>
      </c>
      <c r="T69">
        <v>43201</v>
      </c>
      <c r="U69" t="s">
        <v>129</v>
      </c>
      <c r="V69">
        <v>51201</v>
      </c>
      <c r="W69" t="s">
        <v>81</v>
      </c>
      <c r="X69">
        <v>240415400</v>
      </c>
      <c r="Y69" t="s">
        <v>74</v>
      </c>
      <c r="Z69">
        <v>0</v>
      </c>
      <c r="AA69" t="s">
        <v>123</v>
      </c>
      <c r="AB69">
        <v>162</v>
      </c>
      <c r="AC69">
        <v>0</v>
      </c>
      <c r="AD69">
        <v>0</v>
      </c>
      <c r="AE69">
        <v>162</v>
      </c>
      <c r="AF69">
        <v>-162</v>
      </c>
      <c r="AG69">
        <v>0</v>
      </c>
      <c r="AH69">
        <v>0</v>
      </c>
      <c r="AI69">
        <v>162</v>
      </c>
      <c r="AJ69">
        <v>-162</v>
      </c>
      <c r="AK69">
        <v>0</v>
      </c>
      <c r="AL69">
        <v>-162</v>
      </c>
      <c r="AM69">
        <v>720</v>
      </c>
      <c r="AN69">
        <v>0</v>
      </c>
      <c r="AO69">
        <v>0</v>
      </c>
      <c r="AP69">
        <v>0</v>
      </c>
      <c r="AQ69">
        <v>0</v>
      </c>
    </row>
    <row r="70" spans="1:43" x14ac:dyDescent="0.25">
      <c r="A70">
        <v>69</v>
      </c>
      <c r="B70" t="s">
        <v>71</v>
      </c>
      <c r="C70" t="s">
        <v>72</v>
      </c>
      <c r="D70" t="s">
        <v>73</v>
      </c>
      <c r="E70" t="s">
        <v>74</v>
      </c>
      <c r="F70">
        <v>240415686</v>
      </c>
      <c r="G70">
        <v>6570553</v>
      </c>
      <c r="H70" t="s">
        <v>86</v>
      </c>
      <c r="I70" t="s">
        <v>76</v>
      </c>
      <c r="J70" t="s">
        <v>86</v>
      </c>
      <c r="K70" t="s">
        <v>348</v>
      </c>
      <c r="L70" t="s">
        <v>285</v>
      </c>
      <c r="M70" t="s">
        <v>285</v>
      </c>
      <c r="N70" t="s">
        <v>286</v>
      </c>
      <c r="O70" t="s">
        <v>130</v>
      </c>
      <c r="P70" t="s">
        <v>77</v>
      </c>
      <c r="Q70" t="s">
        <v>184</v>
      </c>
      <c r="R70" t="s">
        <v>185</v>
      </c>
      <c r="S70" t="s">
        <v>137</v>
      </c>
      <c r="T70">
        <v>41201</v>
      </c>
      <c r="U70" t="s">
        <v>85</v>
      </c>
      <c r="V70">
        <v>51201</v>
      </c>
      <c r="W70" t="s">
        <v>81</v>
      </c>
      <c r="X70">
        <v>240415686</v>
      </c>
      <c r="Y70" t="s">
        <v>74</v>
      </c>
      <c r="Z70">
        <v>1</v>
      </c>
      <c r="AA70" t="s">
        <v>147</v>
      </c>
      <c r="AB70">
        <v>86</v>
      </c>
      <c r="AC70">
        <v>86</v>
      </c>
      <c r="AD70">
        <v>5.83</v>
      </c>
      <c r="AE70">
        <v>501.38</v>
      </c>
      <c r="AF70">
        <v>501.38</v>
      </c>
      <c r="AG70">
        <v>178</v>
      </c>
      <c r="AH70">
        <v>178</v>
      </c>
      <c r="AI70">
        <v>323.38</v>
      </c>
      <c r="AJ70">
        <v>323.38</v>
      </c>
      <c r="AK70">
        <v>64.5</v>
      </c>
      <c r="AL70">
        <v>-112.81</v>
      </c>
      <c r="AM70">
        <v>501.38</v>
      </c>
      <c r="AN70">
        <v>-112.81</v>
      </c>
      <c r="AO70">
        <v>210.57</v>
      </c>
      <c r="AP70">
        <v>210.57</v>
      </c>
      <c r="AQ70">
        <v>54.191007999999997</v>
      </c>
    </row>
    <row r="71" spans="1:43" x14ac:dyDescent="0.25">
      <c r="A71">
        <v>70</v>
      </c>
      <c r="B71" t="s">
        <v>71</v>
      </c>
      <c r="C71" t="s">
        <v>72</v>
      </c>
      <c r="D71" t="s">
        <v>73</v>
      </c>
      <c r="E71" t="s">
        <v>74</v>
      </c>
      <c r="F71">
        <v>240415686</v>
      </c>
      <c r="G71">
        <v>6570553</v>
      </c>
      <c r="H71" t="s">
        <v>86</v>
      </c>
      <c r="I71" t="s">
        <v>76</v>
      </c>
      <c r="J71" t="s">
        <v>86</v>
      </c>
      <c r="K71" t="s">
        <v>348</v>
      </c>
      <c r="L71" t="s">
        <v>285</v>
      </c>
      <c r="M71" t="s">
        <v>285</v>
      </c>
      <c r="N71" t="s">
        <v>286</v>
      </c>
      <c r="O71" t="s">
        <v>130</v>
      </c>
      <c r="P71" t="s">
        <v>77</v>
      </c>
      <c r="Q71" t="s">
        <v>78</v>
      </c>
      <c r="R71" t="s">
        <v>143</v>
      </c>
      <c r="S71" t="s">
        <v>79</v>
      </c>
      <c r="T71">
        <v>43201</v>
      </c>
      <c r="U71" t="s">
        <v>129</v>
      </c>
      <c r="V71">
        <v>51201</v>
      </c>
      <c r="W71" t="s">
        <v>81</v>
      </c>
      <c r="X71">
        <v>240415686</v>
      </c>
      <c r="Y71" t="s">
        <v>74</v>
      </c>
      <c r="Z71">
        <v>0</v>
      </c>
      <c r="AA71" t="s">
        <v>147</v>
      </c>
      <c r="AB71">
        <v>19.350000000000001</v>
      </c>
      <c r="AC71">
        <v>-19.350000000000001</v>
      </c>
      <c r="AD71">
        <v>5.83</v>
      </c>
      <c r="AE71">
        <v>112.81</v>
      </c>
      <c r="AF71">
        <v>-112.81</v>
      </c>
      <c r="AG71">
        <v>0</v>
      </c>
      <c r="AH71">
        <v>0</v>
      </c>
      <c r="AI71">
        <v>112.81</v>
      </c>
      <c r="AJ71">
        <v>-112.81</v>
      </c>
      <c r="AK71">
        <v>0</v>
      </c>
      <c r="AL71">
        <v>-112.81</v>
      </c>
      <c r="AM71">
        <v>501.38</v>
      </c>
      <c r="AN71">
        <v>0</v>
      </c>
      <c r="AO71">
        <v>0</v>
      </c>
      <c r="AP71">
        <v>0</v>
      </c>
      <c r="AQ71">
        <v>0</v>
      </c>
    </row>
    <row r="72" spans="1:43" x14ac:dyDescent="0.25">
      <c r="A72">
        <v>71</v>
      </c>
      <c r="B72" t="s">
        <v>71</v>
      </c>
      <c r="C72" t="s">
        <v>72</v>
      </c>
      <c r="D72" t="s">
        <v>73</v>
      </c>
      <c r="E72" t="s">
        <v>74</v>
      </c>
      <c r="F72">
        <v>240416109</v>
      </c>
      <c r="G72">
        <v>6570976</v>
      </c>
      <c r="H72" t="s">
        <v>86</v>
      </c>
      <c r="I72" t="s">
        <v>76</v>
      </c>
      <c r="J72" t="s">
        <v>86</v>
      </c>
      <c r="K72" t="s">
        <v>349</v>
      </c>
      <c r="L72" t="s">
        <v>285</v>
      </c>
      <c r="M72" t="s">
        <v>285</v>
      </c>
      <c r="N72" t="s">
        <v>286</v>
      </c>
      <c r="O72" t="s">
        <v>10</v>
      </c>
      <c r="P72" t="s">
        <v>77</v>
      </c>
      <c r="Q72" t="s">
        <v>94</v>
      </c>
      <c r="R72" t="s">
        <v>95</v>
      </c>
      <c r="S72" t="s">
        <v>96</v>
      </c>
      <c r="T72">
        <v>41201</v>
      </c>
      <c r="U72" t="s">
        <v>85</v>
      </c>
      <c r="V72">
        <v>51201</v>
      </c>
      <c r="W72" t="s">
        <v>81</v>
      </c>
      <c r="X72">
        <v>240416109</v>
      </c>
      <c r="Y72" t="s">
        <v>74</v>
      </c>
      <c r="Z72">
        <v>1</v>
      </c>
      <c r="AA72" t="s">
        <v>152</v>
      </c>
      <c r="AB72">
        <v>183.2</v>
      </c>
      <c r="AC72">
        <v>183.2</v>
      </c>
      <c r="AD72">
        <v>1.76</v>
      </c>
      <c r="AE72">
        <v>322.43</v>
      </c>
      <c r="AF72">
        <v>322.43</v>
      </c>
      <c r="AG72">
        <v>169.71</v>
      </c>
      <c r="AH72">
        <v>169.71</v>
      </c>
      <c r="AI72">
        <v>152.72</v>
      </c>
      <c r="AJ72">
        <v>152.72</v>
      </c>
      <c r="AK72">
        <v>47.37</v>
      </c>
      <c r="AL72">
        <v>0</v>
      </c>
      <c r="AM72">
        <v>322.43</v>
      </c>
      <c r="AN72">
        <v>0</v>
      </c>
      <c r="AO72">
        <v>152.72</v>
      </c>
      <c r="AP72">
        <v>152.72</v>
      </c>
      <c r="AQ72">
        <v>47.365319</v>
      </c>
    </row>
    <row r="73" spans="1:43" x14ac:dyDescent="0.25">
      <c r="A73">
        <v>72</v>
      </c>
      <c r="B73" t="s">
        <v>71</v>
      </c>
      <c r="C73" t="s">
        <v>72</v>
      </c>
      <c r="D73" t="s">
        <v>73</v>
      </c>
      <c r="E73" t="s">
        <v>74</v>
      </c>
      <c r="F73">
        <v>240416313</v>
      </c>
      <c r="G73">
        <v>6571180</v>
      </c>
      <c r="H73" t="s">
        <v>86</v>
      </c>
      <c r="I73" t="s">
        <v>76</v>
      </c>
      <c r="J73" t="s">
        <v>86</v>
      </c>
      <c r="K73" t="s">
        <v>350</v>
      </c>
      <c r="L73" t="s">
        <v>285</v>
      </c>
      <c r="M73" t="s">
        <v>285</v>
      </c>
      <c r="N73" t="s">
        <v>286</v>
      </c>
      <c r="O73" t="s">
        <v>10</v>
      </c>
      <c r="P73" t="s">
        <v>77</v>
      </c>
      <c r="Q73" t="s">
        <v>89</v>
      </c>
      <c r="R73" t="s">
        <v>90</v>
      </c>
      <c r="S73" t="s">
        <v>84</v>
      </c>
      <c r="T73">
        <v>41201</v>
      </c>
      <c r="U73" t="s">
        <v>85</v>
      </c>
      <c r="V73">
        <v>51201</v>
      </c>
      <c r="W73" t="s">
        <v>81</v>
      </c>
      <c r="X73">
        <v>240416313</v>
      </c>
      <c r="Y73" t="s">
        <v>74</v>
      </c>
      <c r="Z73">
        <v>2</v>
      </c>
      <c r="AA73" t="s">
        <v>152</v>
      </c>
      <c r="AB73">
        <v>96.9</v>
      </c>
      <c r="AC73">
        <v>193.8</v>
      </c>
      <c r="AD73">
        <v>1.76</v>
      </c>
      <c r="AE73">
        <v>170.54499999999999</v>
      </c>
      <c r="AF73">
        <v>341.09</v>
      </c>
      <c r="AG73">
        <v>78</v>
      </c>
      <c r="AH73">
        <v>156</v>
      </c>
      <c r="AI73">
        <v>92.55</v>
      </c>
      <c r="AJ73">
        <v>185.09</v>
      </c>
      <c r="AK73">
        <v>54.26</v>
      </c>
      <c r="AL73">
        <v>-61.39</v>
      </c>
      <c r="AM73">
        <v>341.09</v>
      </c>
      <c r="AN73">
        <v>-61.39</v>
      </c>
      <c r="AO73">
        <v>61.85</v>
      </c>
      <c r="AP73">
        <v>123.7</v>
      </c>
      <c r="AQ73">
        <v>44.225955999999996</v>
      </c>
    </row>
    <row r="74" spans="1:43" x14ac:dyDescent="0.25">
      <c r="A74">
        <v>73</v>
      </c>
      <c r="B74" t="s">
        <v>71</v>
      </c>
      <c r="C74" t="s">
        <v>72</v>
      </c>
      <c r="D74" t="s">
        <v>73</v>
      </c>
      <c r="E74" t="s">
        <v>74</v>
      </c>
      <c r="F74">
        <v>240416313</v>
      </c>
      <c r="G74">
        <v>6571180</v>
      </c>
      <c r="H74" t="s">
        <v>86</v>
      </c>
      <c r="I74" t="s">
        <v>76</v>
      </c>
      <c r="J74" t="s">
        <v>86</v>
      </c>
      <c r="K74" t="s">
        <v>350</v>
      </c>
      <c r="L74" t="s">
        <v>285</v>
      </c>
      <c r="M74" t="s">
        <v>285</v>
      </c>
      <c r="N74" t="s">
        <v>286</v>
      </c>
      <c r="O74" t="s">
        <v>10</v>
      </c>
      <c r="P74" t="s">
        <v>77</v>
      </c>
      <c r="Q74" t="s">
        <v>78</v>
      </c>
      <c r="R74" t="s">
        <v>143</v>
      </c>
      <c r="S74" t="s">
        <v>79</v>
      </c>
      <c r="T74">
        <v>43201</v>
      </c>
      <c r="U74" t="s">
        <v>129</v>
      </c>
      <c r="V74">
        <v>51201</v>
      </c>
      <c r="W74" t="s">
        <v>81</v>
      </c>
      <c r="X74">
        <v>240416313</v>
      </c>
      <c r="Y74" t="s">
        <v>74</v>
      </c>
      <c r="Z74">
        <v>0</v>
      </c>
      <c r="AA74" t="s">
        <v>152</v>
      </c>
      <c r="AB74">
        <v>34.880000000000003</v>
      </c>
      <c r="AC74">
        <v>-34.880000000000003</v>
      </c>
      <c r="AD74">
        <v>1.76</v>
      </c>
      <c r="AE74">
        <v>61.39</v>
      </c>
      <c r="AF74">
        <v>-61.39</v>
      </c>
      <c r="AG74">
        <v>0</v>
      </c>
      <c r="AH74">
        <v>0</v>
      </c>
      <c r="AI74">
        <v>61.39</v>
      </c>
      <c r="AJ74">
        <v>-61.39</v>
      </c>
      <c r="AK74">
        <v>0</v>
      </c>
      <c r="AL74">
        <v>-61.39</v>
      </c>
      <c r="AM74">
        <v>341.09</v>
      </c>
      <c r="AN74">
        <v>0</v>
      </c>
      <c r="AO74">
        <v>0</v>
      </c>
      <c r="AP74">
        <v>0</v>
      </c>
      <c r="AQ74">
        <v>0</v>
      </c>
    </row>
    <row r="75" spans="1:43" x14ac:dyDescent="0.25">
      <c r="A75">
        <v>74</v>
      </c>
      <c r="B75" t="s">
        <v>71</v>
      </c>
      <c r="C75" t="s">
        <v>72</v>
      </c>
      <c r="D75" t="s">
        <v>73</v>
      </c>
      <c r="E75" t="s">
        <v>74</v>
      </c>
      <c r="F75">
        <v>240416518</v>
      </c>
      <c r="G75">
        <v>6571409</v>
      </c>
      <c r="H75" t="s">
        <v>88</v>
      </c>
      <c r="I75" t="s">
        <v>76</v>
      </c>
      <c r="J75" t="s">
        <v>88</v>
      </c>
      <c r="K75" t="s">
        <v>351</v>
      </c>
      <c r="L75" t="s">
        <v>285</v>
      </c>
      <c r="M75" t="s">
        <v>285</v>
      </c>
      <c r="N75" t="s">
        <v>286</v>
      </c>
      <c r="O75" t="s">
        <v>132</v>
      </c>
      <c r="P75" t="s">
        <v>77</v>
      </c>
      <c r="Q75" t="s">
        <v>352</v>
      </c>
      <c r="R75" t="s">
        <v>165</v>
      </c>
      <c r="S75" t="s">
        <v>105</v>
      </c>
      <c r="T75">
        <v>41201</v>
      </c>
      <c r="U75" t="s">
        <v>85</v>
      </c>
      <c r="V75">
        <v>51201</v>
      </c>
      <c r="W75" t="s">
        <v>81</v>
      </c>
      <c r="X75">
        <v>240416518</v>
      </c>
      <c r="Y75" t="s">
        <v>74</v>
      </c>
      <c r="Z75">
        <v>1</v>
      </c>
      <c r="AA75" t="s">
        <v>123</v>
      </c>
      <c r="AB75">
        <v>123</v>
      </c>
      <c r="AC75">
        <v>0</v>
      </c>
      <c r="AD75">
        <v>0</v>
      </c>
      <c r="AE75">
        <v>123</v>
      </c>
      <c r="AF75">
        <v>123</v>
      </c>
      <c r="AG75">
        <v>53.2</v>
      </c>
      <c r="AH75">
        <v>53.2</v>
      </c>
      <c r="AI75">
        <v>69.8</v>
      </c>
      <c r="AJ75">
        <v>69.8</v>
      </c>
      <c r="AK75">
        <v>56.75</v>
      </c>
      <c r="AL75">
        <v>0</v>
      </c>
      <c r="AM75">
        <v>123</v>
      </c>
      <c r="AN75">
        <v>0</v>
      </c>
      <c r="AO75">
        <v>69.8</v>
      </c>
      <c r="AP75">
        <v>69.8</v>
      </c>
      <c r="AQ75">
        <v>56.747967000000003</v>
      </c>
    </row>
    <row r="76" spans="1:43" x14ac:dyDescent="0.25">
      <c r="A76">
        <v>75</v>
      </c>
      <c r="B76" t="s">
        <v>71</v>
      </c>
      <c r="C76" t="s">
        <v>72</v>
      </c>
      <c r="D76" t="s">
        <v>73</v>
      </c>
      <c r="E76" t="s">
        <v>74</v>
      </c>
      <c r="F76">
        <v>240416525</v>
      </c>
      <c r="G76">
        <v>6571416</v>
      </c>
      <c r="H76" t="s">
        <v>88</v>
      </c>
      <c r="I76" t="s">
        <v>76</v>
      </c>
      <c r="J76" t="s">
        <v>88</v>
      </c>
      <c r="K76" t="s">
        <v>353</v>
      </c>
      <c r="L76" t="s">
        <v>285</v>
      </c>
      <c r="M76" t="s">
        <v>285</v>
      </c>
      <c r="N76" t="s">
        <v>286</v>
      </c>
      <c r="O76" t="s">
        <v>130</v>
      </c>
      <c r="P76" t="s">
        <v>77</v>
      </c>
      <c r="Q76" t="s">
        <v>354</v>
      </c>
      <c r="R76" t="s">
        <v>355</v>
      </c>
      <c r="S76" t="s">
        <v>84</v>
      </c>
      <c r="T76">
        <v>41201</v>
      </c>
      <c r="U76" t="s">
        <v>85</v>
      </c>
      <c r="V76">
        <v>51201</v>
      </c>
      <c r="W76" t="s">
        <v>81</v>
      </c>
      <c r="X76">
        <v>240416525</v>
      </c>
      <c r="Y76" t="s">
        <v>74</v>
      </c>
      <c r="Z76">
        <v>1</v>
      </c>
      <c r="AA76" t="s">
        <v>147</v>
      </c>
      <c r="AB76">
        <v>32</v>
      </c>
      <c r="AC76">
        <v>32</v>
      </c>
      <c r="AD76">
        <v>5.83</v>
      </c>
      <c r="AE76">
        <v>186.56</v>
      </c>
      <c r="AF76">
        <v>186.56</v>
      </c>
      <c r="AG76">
        <v>66.02</v>
      </c>
      <c r="AH76">
        <v>66.02</v>
      </c>
      <c r="AI76">
        <v>120.54</v>
      </c>
      <c r="AJ76">
        <v>120.54</v>
      </c>
      <c r="AK76">
        <v>64.61</v>
      </c>
      <c r="AL76">
        <v>0</v>
      </c>
      <c r="AM76">
        <v>186.56</v>
      </c>
      <c r="AN76">
        <v>0</v>
      </c>
      <c r="AO76">
        <v>120.54</v>
      </c>
      <c r="AP76">
        <v>120.54</v>
      </c>
      <c r="AQ76">
        <v>64.611920999999995</v>
      </c>
    </row>
    <row r="77" spans="1:43" x14ac:dyDescent="0.25">
      <c r="A77">
        <v>76</v>
      </c>
      <c r="B77" t="s">
        <v>71</v>
      </c>
      <c r="C77" t="s">
        <v>72</v>
      </c>
      <c r="D77" t="s">
        <v>73</v>
      </c>
      <c r="E77" t="s">
        <v>74</v>
      </c>
      <c r="F77">
        <v>240416614</v>
      </c>
      <c r="G77">
        <v>6571505</v>
      </c>
      <c r="H77" t="s">
        <v>88</v>
      </c>
      <c r="I77" t="s">
        <v>76</v>
      </c>
      <c r="J77" t="s">
        <v>88</v>
      </c>
      <c r="K77" t="s">
        <v>356</v>
      </c>
      <c r="L77" t="s">
        <v>285</v>
      </c>
      <c r="M77" t="s">
        <v>285</v>
      </c>
      <c r="N77" t="s">
        <v>286</v>
      </c>
      <c r="O77" t="s">
        <v>130</v>
      </c>
      <c r="P77" t="s">
        <v>77</v>
      </c>
      <c r="Q77" t="s">
        <v>110</v>
      </c>
      <c r="R77" t="s">
        <v>111</v>
      </c>
      <c r="S77" t="s">
        <v>84</v>
      </c>
      <c r="T77">
        <v>41201</v>
      </c>
      <c r="U77" t="s">
        <v>85</v>
      </c>
      <c r="V77">
        <v>51201</v>
      </c>
      <c r="W77" t="s">
        <v>81</v>
      </c>
      <c r="X77">
        <v>240416614</v>
      </c>
      <c r="Y77" t="s">
        <v>74</v>
      </c>
      <c r="Z77">
        <v>1</v>
      </c>
      <c r="AA77" t="s">
        <v>147</v>
      </c>
      <c r="AB77">
        <v>80</v>
      </c>
      <c r="AC77">
        <v>80</v>
      </c>
      <c r="AD77">
        <v>5.83</v>
      </c>
      <c r="AE77">
        <v>466.4</v>
      </c>
      <c r="AF77">
        <v>466.4</v>
      </c>
      <c r="AG77">
        <v>240</v>
      </c>
      <c r="AH77">
        <v>240</v>
      </c>
      <c r="AI77">
        <v>226.4</v>
      </c>
      <c r="AJ77">
        <v>226.4</v>
      </c>
      <c r="AK77">
        <v>48.54</v>
      </c>
      <c r="AL77">
        <v>0</v>
      </c>
      <c r="AM77">
        <v>466.4</v>
      </c>
      <c r="AN77">
        <v>0</v>
      </c>
      <c r="AO77">
        <v>226.4</v>
      </c>
      <c r="AP77">
        <v>226.4</v>
      </c>
      <c r="AQ77">
        <v>48.542023999999998</v>
      </c>
    </row>
    <row r="78" spans="1:43" x14ac:dyDescent="0.25">
      <c r="A78">
        <v>77</v>
      </c>
      <c r="B78" t="s">
        <v>71</v>
      </c>
      <c r="C78" t="s">
        <v>72</v>
      </c>
      <c r="D78" t="s">
        <v>73</v>
      </c>
      <c r="E78" t="s">
        <v>74</v>
      </c>
      <c r="F78">
        <v>240416698</v>
      </c>
      <c r="G78">
        <v>6571589</v>
      </c>
      <c r="H78" t="s">
        <v>88</v>
      </c>
      <c r="I78" t="s">
        <v>76</v>
      </c>
      <c r="J78" t="s">
        <v>88</v>
      </c>
      <c r="K78" t="s">
        <v>357</v>
      </c>
      <c r="L78" t="s">
        <v>285</v>
      </c>
      <c r="M78" t="s">
        <v>285</v>
      </c>
      <c r="N78" t="s">
        <v>286</v>
      </c>
      <c r="O78" t="s">
        <v>131</v>
      </c>
      <c r="P78" t="s">
        <v>77</v>
      </c>
      <c r="Q78" t="s">
        <v>204</v>
      </c>
      <c r="R78" t="s">
        <v>205</v>
      </c>
      <c r="S78" t="s">
        <v>105</v>
      </c>
      <c r="T78">
        <v>41201</v>
      </c>
      <c r="U78" t="s">
        <v>85</v>
      </c>
      <c r="V78">
        <v>51201</v>
      </c>
      <c r="W78" t="s">
        <v>81</v>
      </c>
      <c r="X78">
        <v>240416698</v>
      </c>
      <c r="Y78" t="s">
        <v>74</v>
      </c>
      <c r="Z78">
        <v>1</v>
      </c>
      <c r="AA78" t="s">
        <v>144</v>
      </c>
      <c r="AB78">
        <v>3280</v>
      </c>
      <c r="AC78">
        <v>3280</v>
      </c>
      <c r="AD78">
        <v>0.13300000000000001</v>
      </c>
      <c r="AE78">
        <v>436.24</v>
      </c>
      <c r="AF78">
        <v>436.24</v>
      </c>
      <c r="AG78">
        <v>198.86</v>
      </c>
      <c r="AH78">
        <v>198.86</v>
      </c>
      <c r="AI78">
        <v>237.38</v>
      </c>
      <c r="AJ78">
        <v>237.38</v>
      </c>
      <c r="AK78">
        <v>54.42</v>
      </c>
      <c r="AL78">
        <v>0</v>
      </c>
      <c r="AM78">
        <v>436.24</v>
      </c>
      <c r="AN78">
        <v>0</v>
      </c>
      <c r="AO78">
        <v>237.38</v>
      </c>
      <c r="AP78">
        <v>237.38</v>
      </c>
      <c r="AQ78">
        <v>54.414999999999999</v>
      </c>
    </row>
    <row r="79" spans="1:43" x14ac:dyDescent="0.25">
      <c r="A79">
        <v>78</v>
      </c>
      <c r="B79" t="s">
        <v>71</v>
      </c>
      <c r="C79" t="s">
        <v>72</v>
      </c>
      <c r="D79" t="s">
        <v>73</v>
      </c>
      <c r="E79" t="s">
        <v>74</v>
      </c>
      <c r="F79">
        <v>240416776</v>
      </c>
      <c r="G79">
        <v>6571667</v>
      </c>
      <c r="H79" t="s">
        <v>88</v>
      </c>
      <c r="I79" t="s">
        <v>76</v>
      </c>
      <c r="J79" t="s">
        <v>88</v>
      </c>
      <c r="K79" t="s">
        <v>358</v>
      </c>
      <c r="L79" t="s">
        <v>285</v>
      </c>
      <c r="M79" t="s">
        <v>285</v>
      </c>
      <c r="N79" t="s">
        <v>286</v>
      </c>
      <c r="O79" t="s">
        <v>10</v>
      </c>
      <c r="P79" t="s">
        <v>77</v>
      </c>
      <c r="Q79" t="s">
        <v>235</v>
      </c>
      <c r="R79" t="s">
        <v>236</v>
      </c>
      <c r="S79" t="s">
        <v>84</v>
      </c>
      <c r="T79">
        <v>41201</v>
      </c>
      <c r="U79" t="s">
        <v>85</v>
      </c>
      <c r="V79">
        <v>51201</v>
      </c>
      <c r="W79" t="s">
        <v>81</v>
      </c>
      <c r="X79">
        <v>240416776</v>
      </c>
      <c r="Y79" t="s">
        <v>74</v>
      </c>
      <c r="Z79">
        <v>1</v>
      </c>
      <c r="AA79" t="s">
        <v>152</v>
      </c>
      <c r="AB79">
        <v>84.2</v>
      </c>
      <c r="AC79">
        <v>84.2</v>
      </c>
      <c r="AD79">
        <v>1.76</v>
      </c>
      <c r="AE79">
        <v>148.19</v>
      </c>
      <c r="AF79">
        <v>148.19</v>
      </c>
      <c r="AG79">
        <v>61</v>
      </c>
      <c r="AH79">
        <v>61</v>
      </c>
      <c r="AI79">
        <v>87.19</v>
      </c>
      <c r="AJ79">
        <v>87.19</v>
      </c>
      <c r="AK79">
        <v>58.84</v>
      </c>
      <c r="AL79">
        <v>0</v>
      </c>
      <c r="AM79">
        <v>148.19</v>
      </c>
      <c r="AN79">
        <v>0</v>
      </c>
      <c r="AO79">
        <v>87.19</v>
      </c>
      <c r="AP79">
        <v>87.19</v>
      </c>
      <c r="AQ79">
        <v>58.836627999999997</v>
      </c>
    </row>
    <row r="80" spans="1:43" x14ac:dyDescent="0.25">
      <c r="A80">
        <v>79</v>
      </c>
      <c r="B80" t="s">
        <v>71</v>
      </c>
      <c r="C80" t="s">
        <v>72</v>
      </c>
      <c r="D80" t="s">
        <v>73</v>
      </c>
      <c r="E80" t="s">
        <v>74</v>
      </c>
      <c r="F80">
        <v>240416834</v>
      </c>
      <c r="G80">
        <v>6571725</v>
      </c>
      <c r="H80" t="s">
        <v>88</v>
      </c>
      <c r="I80" t="s">
        <v>76</v>
      </c>
      <c r="J80" t="s">
        <v>88</v>
      </c>
      <c r="K80" t="s">
        <v>359</v>
      </c>
      <c r="L80" t="s">
        <v>285</v>
      </c>
      <c r="M80" t="s">
        <v>285</v>
      </c>
      <c r="N80" t="s">
        <v>286</v>
      </c>
      <c r="O80" t="s">
        <v>132</v>
      </c>
      <c r="P80" t="s">
        <v>77</v>
      </c>
      <c r="Q80" t="s">
        <v>245</v>
      </c>
      <c r="R80" t="s">
        <v>246</v>
      </c>
      <c r="S80" t="s">
        <v>84</v>
      </c>
      <c r="T80">
        <v>41201</v>
      </c>
      <c r="U80" t="s">
        <v>85</v>
      </c>
      <c r="V80">
        <v>51201</v>
      </c>
      <c r="W80" t="s">
        <v>81</v>
      </c>
      <c r="X80">
        <v>240416834</v>
      </c>
      <c r="Y80" t="s">
        <v>74</v>
      </c>
      <c r="Z80">
        <v>2</v>
      </c>
      <c r="AA80" t="s">
        <v>123</v>
      </c>
      <c r="AB80">
        <v>269</v>
      </c>
      <c r="AC80">
        <v>0</v>
      </c>
      <c r="AD80">
        <v>0</v>
      </c>
      <c r="AE80">
        <v>269</v>
      </c>
      <c r="AF80">
        <v>538</v>
      </c>
      <c r="AG80">
        <v>152.66</v>
      </c>
      <c r="AH80">
        <v>305.31</v>
      </c>
      <c r="AI80">
        <v>116.35</v>
      </c>
      <c r="AJ80">
        <v>232.69</v>
      </c>
      <c r="AK80">
        <v>43.25</v>
      </c>
      <c r="AL80">
        <v>0</v>
      </c>
      <c r="AM80">
        <v>538</v>
      </c>
      <c r="AN80">
        <v>0</v>
      </c>
      <c r="AO80">
        <v>116.345</v>
      </c>
      <c r="AP80">
        <v>232.69</v>
      </c>
      <c r="AQ80">
        <v>43.250928999999999</v>
      </c>
    </row>
    <row r="81" spans="1:43" x14ac:dyDescent="0.25">
      <c r="A81">
        <v>80</v>
      </c>
      <c r="B81" t="s">
        <v>71</v>
      </c>
      <c r="C81" t="s">
        <v>72</v>
      </c>
      <c r="D81" t="s">
        <v>73</v>
      </c>
      <c r="E81" t="s">
        <v>74</v>
      </c>
      <c r="F81">
        <v>240417041</v>
      </c>
      <c r="G81">
        <v>6571932</v>
      </c>
      <c r="H81" t="s">
        <v>88</v>
      </c>
      <c r="I81" t="s">
        <v>76</v>
      </c>
      <c r="J81" t="s">
        <v>88</v>
      </c>
      <c r="K81" t="s">
        <v>360</v>
      </c>
      <c r="L81" t="s">
        <v>285</v>
      </c>
      <c r="M81" t="s">
        <v>285</v>
      </c>
      <c r="N81" t="s">
        <v>286</v>
      </c>
      <c r="O81" t="s">
        <v>132</v>
      </c>
      <c r="P81" t="s">
        <v>77</v>
      </c>
      <c r="Q81" t="s">
        <v>361</v>
      </c>
      <c r="R81" t="s">
        <v>362</v>
      </c>
      <c r="S81" t="s">
        <v>105</v>
      </c>
      <c r="T81">
        <v>41201</v>
      </c>
      <c r="U81" t="s">
        <v>85</v>
      </c>
      <c r="V81">
        <v>51201</v>
      </c>
      <c r="W81" t="s">
        <v>81</v>
      </c>
      <c r="X81">
        <v>240417041</v>
      </c>
      <c r="Y81" t="s">
        <v>74</v>
      </c>
      <c r="Z81">
        <v>1</v>
      </c>
      <c r="AA81" t="s">
        <v>123</v>
      </c>
      <c r="AB81">
        <v>293</v>
      </c>
      <c r="AC81">
        <v>0</v>
      </c>
      <c r="AD81">
        <v>0</v>
      </c>
      <c r="AE81">
        <v>293</v>
      </c>
      <c r="AF81">
        <v>293</v>
      </c>
      <c r="AG81">
        <v>166.91</v>
      </c>
      <c r="AH81">
        <v>166.91</v>
      </c>
      <c r="AI81">
        <v>126.09</v>
      </c>
      <c r="AJ81">
        <v>126.09</v>
      </c>
      <c r="AK81">
        <v>43.03</v>
      </c>
      <c r="AL81">
        <v>0</v>
      </c>
      <c r="AM81">
        <v>293</v>
      </c>
      <c r="AN81">
        <v>0</v>
      </c>
      <c r="AO81">
        <v>126.09</v>
      </c>
      <c r="AP81">
        <v>126.09</v>
      </c>
      <c r="AQ81">
        <v>43.034129</v>
      </c>
    </row>
    <row r="82" spans="1:43" x14ac:dyDescent="0.25">
      <c r="A82">
        <v>81</v>
      </c>
      <c r="B82" t="s">
        <v>71</v>
      </c>
      <c r="C82" t="s">
        <v>72</v>
      </c>
      <c r="D82" t="s">
        <v>73</v>
      </c>
      <c r="E82" t="s">
        <v>74</v>
      </c>
      <c r="F82">
        <v>240417408</v>
      </c>
      <c r="G82">
        <v>6572299</v>
      </c>
      <c r="H82" t="s">
        <v>88</v>
      </c>
      <c r="I82" t="s">
        <v>76</v>
      </c>
      <c r="J82" t="s">
        <v>88</v>
      </c>
      <c r="K82" t="s">
        <v>363</v>
      </c>
      <c r="L82" t="s">
        <v>285</v>
      </c>
      <c r="M82" t="s">
        <v>285</v>
      </c>
      <c r="N82" t="s">
        <v>286</v>
      </c>
      <c r="O82" t="s">
        <v>10</v>
      </c>
      <c r="P82" t="s">
        <v>77</v>
      </c>
      <c r="Q82" t="s">
        <v>174</v>
      </c>
      <c r="R82" t="s">
        <v>175</v>
      </c>
      <c r="S82" t="s">
        <v>84</v>
      </c>
      <c r="T82">
        <v>41201</v>
      </c>
      <c r="U82" t="s">
        <v>85</v>
      </c>
      <c r="V82">
        <v>51201</v>
      </c>
      <c r="W82" t="s">
        <v>81</v>
      </c>
      <c r="X82">
        <v>240417408</v>
      </c>
      <c r="Y82" t="s">
        <v>74</v>
      </c>
      <c r="Z82">
        <v>2</v>
      </c>
      <c r="AA82" t="s">
        <v>152</v>
      </c>
      <c r="AB82">
        <v>133.65</v>
      </c>
      <c r="AC82">
        <v>267.3</v>
      </c>
      <c r="AD82">
        <v>1.76</v>
      </c>
      <c r="AE82">
        <v>235.22499999999999</v>
      </c>
      <c r="AF82">
        <v>470.45</v>
      </c>
      <c r="AG82">
        <v>94.31</v>
      </c>
      <c r="AH82">
        <v>188.61</v>
      </c>
      <c r="AI82">
        <v>140.91999999999999</v>
      </c>
      <c r="AJ82">
        <v>281.83999999999997</v>
      </c>
      <c r="AK82">
        <v>59.91</v>
      </c>
      <c r="AL82">
        <v>0</v>
      </c>
      <c r="AM82">
        <v>470.45</v>
      </c>
      <c r="AN82">
        <v>0</v>
      </c>
      <c r="AO82">
        <v>140.91999999999999</v>
      </c>
      <c r="AP82">
        <v>281.83999999999997</v>
      </c>
      <c r="AQ82">
        <v>59.908597999999998</v>
      </c>
    </row>
    <row r="83" spans="1:43" x14ac:dyDescent="0.25">
      <c r="A83">
        <v>82</v>
      </c>
      <c r="B83" t="s">
        <v>71</v>
      </c>
      <c r="C83" t="s">
        <v>72</v>
      </c>
      <c r="D83" t="s">
        <v>73</v>
      </c>
      <c r="E83" t="s">
        <v>74</v>
      </c>
      <c r="F83">
        <v>240417596</v>
      </c>
      <c r="G83">
        <v>6572487</v>
      </c>
      <c r="H83" t="s">
        <v>88</v>
      </c>
      <c r="I83" t="s">
        <v>76</v>
      </c>
      <c r="J83" t="s">
        <v>88</v>
      </c>
      <c r="K83" t="s">
        <v>364</v>
      </c>
      <c r="L83" t="s">
        <v>285</v>
      </c>
      <c r="M83" t="s">
        <v>285</v>
      </c>
      <c r="N83" t="s">
        <v>286</v>
      </c>
      <c r="O83" t="s">
        <v>130</v>
      </c>
      <c r="P83" t="s">
        <v>77</v>
      </c>
      <c r="Q83" t="s">
        <v>78</v>
      </c>
      <c r="R83" t="s">
        <v>143</v>
      </c>
      <c r="S83" t="s">
        <v>79</v>
      </c>
      <c r="T83">
        <v>43201</v>
      </c>
      <c r="U83" t="s">
        <v>129</v>
      </c>
      <c r="V83">
        <v>51201</v>
      </c>
      <c r="W83" t="s">
        <v>81</v>
      </c>
      <c r="X83">
        <v>240417596</v>
      </c>
      <c r="Y83" t="s">
        <v>74</v>
      </c>
      <c r="Z83">
        <v>0</v>
      </c>
      <c r="AA83" t="s">
        <v>147</v>
      </c>
      <c r="AB83">
        <v>18.899999999999999</v>
      </c>
      <c r="AC83">
        <v>-18.899999999999999</v>
      </c>
      <c r="AD83">
        <v>5.83</v>
      </c>
      <c r="AE83">
        <v>110.19</v>
      </c>
      <c r="AF83">
        <v>-110.19</v>
      </c>
      <c r="AG83">
        <v>0</v>
      </c>
      <c r="AH83">
        <v>0</v>
      </c>
      <c r="AI83">
        <v>110.19</v>
      </c>
      <c r="AJ83">
        <v>-110.19</v>
      </c>
      <c r="AK83">
        <v>0</v>
      </c>
      <c r="AL83">
        <v>-110.19</v>
      </c>
      <c r="AM83">
        <v>612.15</v>
      </c>
      <c r="AN83">
        <v>0</v>
      </c>
      <c r="AO83">
        <v>0</v>
      </c>
      <c r="AP83">
        <v>0</v>
      </c>
      <c r="AQ83">
        <v>0</v>
      </c>
    </row>
    <row r="84" spans="1:43" x14ac:dyDescent="0.25">
      <c r="A84">
        <v>83</v>
      </c>
      <c r="B84" t="s">
        <v>71</v>
      </c>
      <c r="C84" t="s">
        <v>72</v>
      </c>
      <c r="D84" t="s">
        <v>73</v>
      </c>
      <c r="E84" t="s">
        <v>74</v>
      </c>
      <c r="F84">
        <v>240417596</v>
      </c>
      <c r="G84">
        <v>6572487</v>
      </c>
      <c r="H84" t="s">
        <v>88</v>
      </c>
      <c r="I84" t="s">
        <v>76</v>
      </c>
      <c r="J84" t="s">
        <v>88</v>
      </c>
      <c r="K84" t="s">
        <v>364</v>
      </c>
      <c r="L84" t="s">
        <v>285</v>
      </c>
      <c r="M84" t="s">
        <v>285</v>
      </c>
      <c r="N84" t="s">
        <v>286</v>
      </c>
      <c r="O84" t="s">
        <v>130</v>
      </c>
      <c r="P84" t="s">
        <v>77</v>
      </c>
      <c r="Q84" t="s">
        <v>365</v>
      </c>
      <c r="R84" t="s">
        <v>93</v>
      </c>
      <c r="S84" t="s">
        <v>84</v>
      </c>
      <c r="T84">
        <v>41201</v>
      </c>
      <c r="U84" t="s">
        <v>85</v>
      </c>
      <c r="V84">
        <v>51201</v>
      </c>
      <c r="W84" t="s">
        <v>81</v>
      </c>
      <c r="X84">
        <v>240417596</v>
      </c>
      <c r="Y84" t="s">
        <v>74</v>
      </c>
      <c r="Z84">
        <v>1</v>
      </c>
      <c r="AA84" t="s">
        <v>147</v>
      </c>
      <c r="AB84">
        <v>105</v>
      </c>
      <c r="AC84">
        <v>105</v>
      </c>
      <c r="AD84">
        <v>5.83</v>
      </c>
      <c r="AE84">
        <v>612.15</v>
      </c>
      <c r="AF84">
        <v>612.15</v>
      </c>
      <c r="AG84">
        <v>255</v>
      </c>
      <c r="AH84">
        <v>255</v>
      </c>
      <c r="AI84">
        <v>357.15</v>
      </c>
      <c r="AJ84">
        <v>357.15</v>
      </c>
      <c r="AK84">
        <v>58.34</v>
      </c>
      <c r="AL84">
        <v>-110.19</v>
      </c>
      <c r="AM84">
        <v>612.15</v>
      </c>
      <c r="AN84">
        <v>-110.19</v>
      </c>
      <c r="AO84">
        <v>246.96</v>
      </c>
      <c r="AP84">
        <v>246.96</v>
      </c>
      <c r="AQ84">
        <v>49.199139000000002</v>
      </c>
    </row>
    <row r="85" spans="1:43" x14ac:dyDescent="0.25">
      <c r="A85">
        <v>84</v>
      </c>
      <c r="B85" t="s">
        <v>71</v>
      </c>
      <c r="C85" t="s">
        <v>72</v>
      </c>
      <c r="D85" t="s">
        <v>73</v>
      </c>
      <c r="E85" t="s">
        <v>74</v>
      </c>
      <c r="F85">
        <v>240417668</v>
      </c>
      <c r="G85">
        <v>6572568</v>
      </c>
      <c r="H85" t="s">
        <v>186</v>
      </c>
      <c r="I85" t="s">
        <v>76</v>
      </c>
      <c r="J85" t="s">
        <v>186</v>
      </c>
      <c r="K85" t="s">
        <v>366</v>
      </c>
      <c r="L85" t="s">
        <v>285</v>
      </c>
      <c r="M85" t="s">
        <v>285</v>
      </c>
      <c r="N85" t="s">
        <v>286</v>
      </c>
      <c r="O85" t="s">
        <v>130</v>
      </c>
      <c r="P85" t="s">
        <v>77</v>
      </c>
      <c r="Q85" t="s">
        <v>231</v>
      </c>
      <c r="R85" t="s">
        <v>232</v>
      </c>
      <c r="S85" t="s">
        <v>105</v>
      </c>
      <c r="T85">
        <v>41201</v>
      </c>
      <c r="U85" t="s">
        <v>85</v>
      </c>
      <c r="V85">
        <v>51201</v>
      </c>
      <c r="W85" t="s">
        <v>81</v>
      </c>
      <c r="X85">
        <v>240417668</v>
      </c>
      <c r="Y85" t="s">
        <v>74</v>
      </c>
      <c r="Z85">
        <v>1</v>
      </c>
      <c r="AA85" t="s">
        <v>147</v>
      </c>
      <c r="AB85">
        <v>21</v>
      </c>
      <c r="AC85">
        <v>21</v>
      </c>
      <c r="AD85">
        <v>5.83</v>
      </c>
      <c r="AE85">
        <v>122.43</v>
      </c>
      <c r="AF85">
        <v>122.43</v>
      </c>
      <c r="AG85">
        <v>33.76</v>
      </c>
      <c r="AH85">
        <v>33.76</v>
      </c>
      <c r="AI85">
        <v>88.67</v>
      </c>
      <c r="AJ85">
        <v>88.67</v>
      </c>
      <c r="AK85">
        <v>72.430000000000007</v>
      </c>
      <c r="AL85">
        <v>0</v>
      </c>
      <c r="AM85">
        <v>239.03</v>
      </c>
      <c r="AN85">
        <v>0</v>
      </c>
      <c r="AO85">
        <v>88.67</v>
      </c>
      <c r="AP85">
        <v>88.67</v>
      </c>
      <c r="AQ85">
        <v>72.425059000000005</v>
      </c>
    </row>
    <row r="86" spans="1:43" x14ac:dyDescent="0.25">
      <c r="A86">
        <v>85</v>
      </c>
      <c r="B86" t="s">
        <v>71</v>
      </c>
      <c r="C86" t="s">
        <v>72</v>
      </c>
      <c r="D86" t="s">
        <v>73</v>
      </c>
      <c r="E86" t="s">
        <v>74</v>
      </c>
      <c r="F86">
        <v>240417668</v>
      </c>
      <c r="G86">
        <v>6572568</v>
      </c>
      <c r="H86" t="s">
        <v>186</v>
      </c>
      <c r="I86" t="s">
        <v>76</v>
      </c>
      <c r="J86" t="s">
        <v>186</v>
      </c>
      <c r="K86" t="s">
        <v>366</v>
      </c>
      <c r="L86" t="s">
        <v>285</v>
      </c>
      <c r="M86" t="s">
        <v>285</v>
      </c>
      <c r="N86" t="s">
        <v>286</v>
      </c>
      <c r="O86" t="s">
        <v>130</v>
      </c>
      <c r="P86" t="s">
        <v>77</v>
      </c>
      <c r="Q86" t="s">
        <v>367</v>
      </c>
      <c r="R86" t="s">
        <v>368</v>
      </c>
      <c r="S86" t="s">
        <v>105</v>
      </c>
      <c r="T86">
        <v>41201</v>
      </c>
      <c r="U86" t="s">
        <v>85</v>
      </c>
      <c r="V86">
        <v>51201</v>
      </c>
      <c r="W86" t="s">
        <v>81</v>
      </c>
      <c r="X86">
        <v>240417668</v>
      </c>
      <c r="Y86" t="s">
        <v>74</v>
      </c>
      <c r="Z86">
        <v>1</v>
      </c>
      <c r="AA86" t="s">
        <v>147</v>
      </c>
      <c r="AB86">
        <v>20</v>
      </c>
      <c r="AC86">
        <v>20</v>
      </c>
      <c r="AD86">
        <v>5.83</v>
      </c>
      <c r="AE86">
        <v>116.6</v>
      </c>
      <c r="AF86">
        <v>116.6</v>
      </c>
      <c r="AG86">
        <v>31.03</v>
      </c>
      <c r="AH86">
        <v>31.03</v>
      </c>
      <c r="AI86">
        <v>85.57</v>
      </c>
      <c r="AJ86">
        <v>85.57</v>
      </c>
      <c r="AK86">
        <v>73.39</v>
      </c>
      <c r="AL86">
        <v>0</v>
      </c>
      <c r="AM86">
        <v>239.03</v>
      </c>
      <c r="AN86">
        <v>0</v>
      </c>
      <c r="AO86">
        <v>85.57</v>
      </c>
      <c r="AP86">
        <v>85.57</v>
      </c>
      <c r="AQ86">
        <v>73.387649999999994</v>
      </c>
    </row>
    <row r="87" spans="1:43" x14ac:dyDescent="0.25">
      <c r="A87">
        <v>86</v>
      </c>
      <c r="B87" t="s">
        <v>71</v>
      </c>
      <c r="C87" t="s">
        <v>72</v>
      </c>
      <c r="D87" t="s">
        <v>73</v>
      </c>
      <c r="E87" t="s">
        <v>74</v>
      </c>
      <c r="F87">
        <v>240417724</v>
      </c>
      <c r="G87">
        <v>6572625</v>
      </c>
      <c r="H87" t="s">
        <v>186</v>
      </c>
      <c r="I87" t="s">
        <v>76</v>
      </c>
      <c r="J87" t="s">
        <v>186</v>
      </c>
      <c r="K87" t="s">
        <v>369</v>
      </c>
      <c r="L87" t="s">
        <v>285</v>
      </c>
      <c r="M87" t="s">
        <v>285</v>
      </c>
      <c r="N87" t="s">
        <v>286</v>
      </c>
      <c r="O87" t="s">
        <v>132</v>
      </c>
      <c r="P87" t="s">
        <v>77</v>
      </c>
      <c r="Q87" t="s">
        <v>370</v>
      </c>
      <c r="R87" t="s">
        <v>371</v>
      </c>
      <c r="S87" t="s">
        <v>105</v>
      </c>
      <c r="T87">
        <v>41201</v>
      </c>
      <c r="U87" t="s">
        <v>85</v>
      </c>
      <c r="V87">
        <v>51201</v>
      </c>
      <c r="W87" t="s">
        <v>81</v>
      </c>
      <c r="X87">
        <v>240417724</v>
      </c>
      <c r="Y87" t="s">
        <v>74</v>
      </c>
      <c r="Z87">
        <v>2</v>
      </c>
      <c r="AA87" t="s">
        <v>123</v>
      </c>
      <c r="AB87">
        <v>162.5</v>
      </c>
      <c r="AC87">
        <v>0</v>
      </c>
      <c r="AD87">
        <v>0</v>
      </c>
      <c r="AE87">
        <v>162.5</v>
      </c>
      <c r="AF87">
        <v>325</v>
      </c>
      <c r="AG87">
        <v>80.66</v>
      </c>
      <c r="AH87">
        <v>161.32</v>
      </c>
      <c r="AI87">
        <v>81.84</v>
      </c>
      <c r="AJ87">
        <v>163.68</v>
      </c>
      <c r="AK87">
        <v>50.36</v>
      </c>
      <c r="AL87">
        <v>0</v>
      </c>
      <c r="AM87">
        <v>649</v>
      </c>
      <c r="AN87">
        <v>0</v>
      </c>
      <c r="AO87">
        <v>81.84</v>
      </c>
      <c r="AP87">
        <v>163.68</v>
      </c>
      <c r="AQ87">
        <v>50.363076</v>
      </c>
    </row>
    <row r="88" spans="1:43" x14ac:dyDescent="0.25">
      <c r="A88">
        <v>87</v>
      </c>
      <c r="B88" t="s">
        <v>71</v>
      </c>
      <c r="C88" t="s">
        <v>72</v>
      </c>
      <c r="D88" t="s">
        <v>73</v>
      </c>
      <c r="E88" t="s">
        <v>74</v>
      </c>
      <c r="F88">
        <v>240417724</v>
      </c>
      <c r="G88">
        <v>6572625</v>
      </c>
      <c r="H88" t="s">
        <v>186</v>
      </c>
      <c r="I88" t="s">
        <v>76</v>
      </c>
      <c r="J88" t="s">
        <v>186</v>
      </c>
      <c r="K88" t="s">
        <v>369</v>
      </c>
      <c r="L88" t="s">
        <v>285</v>
      </c>
      <c r="M88" t="s">
        <v>285</v>
      </c>
      <c r="N88" t="s">
        <v>286</v>
      </c>
      <c r="O88" t="s">
        <v>132</v>
      </c>
      <c r="P88" t="s">
        <v>77</v>
      </c>
      <c r="Q88" t="s">
        <v>372</v>
      </c>
      <c r="R88" t="s">
        <v>373</v>
      </c>
      <c r="S88" t="s">
        <v>105</v>
      </c>
      <c r="T88">
        <v>41201</v>
      </c>
      <c r="U88" t="s">
        <v>85</v>
      </c>
      <c r="V88">
        <v>51201</v>
      </c>
      <c r="W88" t="s">
        <v>81</v>
      </c>
      <c r="X88">
        <v>240417724</v>
      </c>
      <c r="Y88" t="s">
        <v>74</v>
      </c>
      <c r="Z88">
        <v>2</v>
      </c>
      <c r="AA88" t="s">
        <v>123</v>
      </c>
      <c r="AB88">
        <v>162</v>
      </c>
      <c r="AC88">
        <v>0</v>
      </c>
      <c r="AD88">
        <v>0</v>
      </c>
      <c r="AE88">
        <v>162</v>
      </c>
      <c r="AF88">
        <v>324</v>
      </c>
      <c r="AG88">
        <v>82.5</v>
      </c>
      <c r="AH88">
        <v>164.99</v>
      </c>
      <c r="AI88">
        <v>79.510000000000005</v>
      </c>
      <c r="AJ88">
        <v>159.01</v>
      </c>
      <c r="AK88">
        <v>49.08</v>
      </c>
      <c r="AL88">
        <v>0</v>
      </c>
      <c r="AM88">
        <v>649</v>
      </c>
      <c r="AN88">
        <v>0</v>
      </c>
      <c r="AO88">
        <v>79.504999999999995</v>
      </c>
      <c r="AP88">
        <v>159.01</v>
      </c>
      <c r="AQ88">
        <v>49.077159999999999</v>
      </c>
    </row>
    <row r="89" spans="1:43" x14ac:dyDescent="0.25">
      <c r="A89">
        <v>88</v>
      </c>
      <c r="B89" t="s">
        <v>71</v>
      </c>
      <c r="C89" t="s">
        <v>72</v>
      </c>
      <c r="D89" t="s">
        <v>73</v>
      </c>
      <c r="E89" t="s">
        <v>74</v>
      </c>
      <c r="F89">
        <v>240418197</v>
      </c>
      <c r="G89">
        <v>6573098</v>
      </c>
      <c r="H89" t="s">
        <v>186</v>
      </c>
      <c r="I89" t="s">
        <v>76</v>
      </c>
      <c r="J89" t="s">
        <v>186</v>
      </c>
      <c r="K89" t="s">
        <v>374</v>
      </c>
      <c r="L89" t="s">
        <v>285</v>
      </c>
      <c r="M89" t="s">
        <v>285</v>
      </c>
      <c r="N89" t="s">
        <v>286</v>
      </c>
      <c r="O89" t="s">
        <v>130</v>
      </c>
      <c r="P89" t="s">
        <v>77</v>
      </c>
      <c r="Q89" t="s">
        <v>98</v>
      </c>
      <c r="R89" t="s">
        <v>99</v>
      </c>
      <c r="S89" t="s">
        <v>84</v>
      </c>
      <c r="T89">
        <v>41201</v>
      </c>
      <c r="U89" t="s">
        <v>85</v>
      </c>
      <c r="V89">
        <v>51201</v>
      </c>
      <c r="W89" t="s">
        <v>81</v>
      </c>
      <c r="X89">
        <v>240418197</v>
      </c>
      <c r="Y89" t="s">
        <v>74</v>
      </c>
      <c r="Z89">
        <v>1</v>
      </c>
      <c r="AA89" t="s">
        <v>147</v>
      </c>
      <c r="AB89">
        <v>103</v>
      </c>
      <c r="AC89">
        <v>103</v>
      </c>
      <c r="AD89">
        <v>5.83</v>
      </c>
      <c r="AE89">
        <v>600.49</v>
      </c>
      <c r="AF89">
        <v>600.49</v>
      </c>
      <c r="AG89">
        <v>322</v>
      </c>
      <c r="AH89">
        <v>322</v>
      </c>
      <c r="AI89">
        <v>278.49</v>
      </c>
      <c r="AJ89">
        <v>278.49</v>
      </c>
      <c r="AK89">
        <v>46.38</v>
      </c>
      <c r="AL89">
        <v>0</v>
      </c>
      <c r="AM89">
        <v>600.49</v>
      </c>
      <c r="AN89">
        <v>0</v>
      </c>
      <c r="AO89">
        <v>278.49</v>
      </c>
      <c r="AP89">
        <v>278.49</v>
      </c>
      <c r="AQ89">
        <v>46.377124999999999</v>
      </c>
    </row>
    <row r="90" spans="1:43" x14ac:dyDescent="0.25">
      <c r="A90">
        <v>89</v>
      </c>
      <c r="B90" t="s">
        <v>71</v>
      </c>
      <c r="C90" t="s">
        <v>72</v>
      </c>
      <c r="D90" t="s">
        <v>73</v>
      </c>
      <c r="E90" t="s">
        <v>74</v>
      </c>
      <c r="F90">
        <v>240418289</v>
      </c>
      <c r="G90">
        <v>6573190</v>
      </c>
      <c r="H90" t="s">
        <v>186</v>
      </c>
      <c r="I90" t="s">
        <v>76</v>
      </c>
      <c r="J90" t="s">
        <v>186</v>
      </c>
      <c r="K90" t="s">
        <v>375</v>
      </c>
      <c r="L90" t="s">
        <v>285</v>
      </c>
      <c r="M90" t="s">
        <v>285</v>
      </c>
      <c r="N90" t="s">
        <v>286</v>
      </c>
      <c r="O90" t="s">
        <v>10</v>
      </c>
      <c r="P90" t="s">
        <v>77</v>
      </c>
      <c r="Q90" t="s">
        <v>256</v>
      </c>
      <c r="R90" t="s">
        <v>257</v>
      </c>
      <c r="S90" t="s">
        <v>105</v>
      </c>
      <c r="T90">
        <v>41201</v>
      </c>
      <c r="U90" t="s">
        <v>85</v>
      </c>
      <c r="V90">
        <v>51201</v>
      </c>
      <c r="W90" t="s">
        <v>81</v>
      </c>
      <c r="X90">
        <v>240418289</v>
      </c>
      <c r="Y90" t="s">
        <v>74</v>
      </c>
      <c r="Z90">
        <v>1</v>
      </c>
      <c r="AA90" t="s">
        <v>152</v>
      </c>
      <c r="AB90">
        <v>153.5</v>
      </c>
      <c r="AC90">
        <v>153.5</v>
      </c>
      <c r="AD90">
        <v>1.76</v>
      </c>
      <c r="AE90">
        <v>270.16000000000003</v>
      </c>
      <c r="AF90">
        <v>270.16000000000003</v>
      </c>
      <c r="AG90">
        <v>112.21</v>
      </c>
      <c r="AH90">
        <v>112.21</v>
      </c>
      <c r="AI90">
        <v>157.94999999999999</v>
      </c>
      <c r="AJ90">
        <v>157.94999999999999</v>
      </c>
      <c r="AK90">
        <v>58.47</v>
      </c>
      <c r="AL90">
        <v>0</v>
      </c>
      <c r="AM90">
        <v>270.16000000000003</v>
      </c>
      <c r="AN90">
        <v>0</v>
      </c>
      <c r="AO90">
        <v>157.94999999999999</v>
      </c>
      <c r="AP90">
        <v>157.94999999999999</v>
      </c>
      <c r="AQ90">
        <v>58.465353</v>
      </c>
    </row>
    <row r="91" spans="1:43" x14ac:dyDescent="0.25">
      <c r="A91">
        <v>90</v>
      </c>
      <c r="B91" t="s">
        <v>71</v>
      </c>
      <c r="C91" t="s">
        <v>72</v>
      </c>
      <c r="D91" t="s">
        <v>73</v>
      </c>
      <c r="E91" t="s">
        <v>74</v>
      </c>
      <c r="F91">
        <v>240419311</v>
      </c>
      <c r="G91">
        <v>6574223</v>
      </c>
      <c r="H91" t="s">
        <v>91</v>
      </c>
      <c r="I91" t="s">
        <v>76</v>
      </c>
      <c r="J91" t="s">
        <v>91</v>
      </c>
      <c r="K91" t="s">
        <v>376</v>
      </c>
      <c r="L91" t="s">
        <v>285</v>
      </c>
      <c r="M91" t="s">
        <v>285</v>
      </c>
      <c r="N91" t="s">
        <v>286</v>
      </c>
      <c r="O91" t="s">
        <v>130</v>
      </c>
      <c r="P91" t="s">
        <v>77</v>
      </c>
      <c r="Q91" t="s">
        <v>89</v>
      </c>
      <c r="R91" t="s">
        <v>377</v>
      </c>
      <c r="S91" t="s">
        <v>84</v>
      </c>
      <c r="T91">
        <v>41201</v>
      </c>
      <c r="U91" t="s">
        <v>85</v>
      </c>
      <c r="V91">
        <v>51201</v>
      </c>
      <c r="W91" t="s">
        <v>81</v>
      </c>
      <c r="X91">
        <v>240419311</v>
      </c>
      <c r="Y91" t="s">
        <v>74</v>
      </c>
      <c r="Z91">
        <v>1</v>
      </c>
      <c r="AA91" t="s">
        <v>147</v>
      </c>
      <c r="AB91">
        <v>28.06</v>
      </c>
      <c r="AC91">
        <v>28.06</v>
      </c>
      <c r="AD91">
        <v>5.83</v>
      </c>
      <c r="AE91">
        <v>163.59</v>
      </c>
      <c r="AF91">
        <v>163.59</v>
      </c>
      <c r="AG91">
        <v>76</v>
      </c>
      <c r="AH91">
        <v>76</v>
      </c>
      <c r="AI91">
        <v>87.59</v>
      </c>
      <c r="AJ91">
        <v>87.59</v>
      </c>
      <c r="AK91">
        <v>53.54</v>
      </c>
      <c r="AL91">
        <v>0</v>
      </c>
      <c r="AM91">
        <v>268.18</v>
      </c>
      <c r="AN91">
        <v>0</v>
      </c>
      <c r="AO91">
        <v>87.59</v>
      </c>
      <c r="AP91">
        <v>87.59</v>
      </c>
      <c r="AQ91">
        <v>53.542392</v>
      </c>
    </row>
    <row r="92" spans="1:43" x14ac:dyDescent="0.25">
      <c r="A92">
        <v>91</v>
      </c>
      <c r="B92" t="s">
        <v>71</v>
      </c>
      <c r="C92" t="s">
        <v>72</v>
      </c>
      <c r="D92" t="s">
        <v>73</v>
      </c>
      <c r="E92" t="s">
        <v>74</v>
      </c>
      <c r="F92">
        <v>240419311</v>
      </c>
      <c r="G92">
        <v>6574223</v>
      </c>
      <c r="H92" t="s">
        <v>91</v>
      </c>
      <c r="I92" t="s">
        <v>76</v>
      </c>
      <c r="J92" t="s">
        <v>91</v>
      </c>
      <c r="K92" t="s">
        <v>376</v>
      </c>
      <c r="L92" t="s">
        <v>285</v>
      </c>
      <c r="M92" t="s">
        <v>285</v>
      </c>
      <c r="N92" t="s">
        <v>286</v>
      </c>
      <c r="O92" t="s">
        <v>130</v>
      </c>
      <c r="P92" t="s">
        <v>77</v>
      </c>
      <c r="Q92" t="s">
        <v>82</v>
      </c>
      <c r="R92" t="s">
        <v>112</v>
      </c>
      <c r="S92" t="s">
        <v>84</v>
      </c>
      <c r="T92">
        <v>41201</v>
      </c>
      <c r="U92" t="s">
        <v>85</v>
      </c>
      <c r="V92">
        <v>51201</v>
      </c>
      <c r="W92" t="s">
        <v>81</v>
      </c>
      <c r="X92">
        <v>240419311</v>
      </c>
      <c r="Y92" t="s">
        <v>74</v>
      </c>
      <c r="Z92">
        <v>1</v>
      </c>
      <c r="AA92" t="s">
        <v>147</v>
      </c>
      <c r="AB92">
        <v>5.98</v>
      </c>
      <c r="AC92">
        <v>5.98</v>
      </c>
      <c r="AD92">
        <v>5.83</v>
      </c>
      <c r="AE92">
        <v>34.86</v>
      </c>
      <c r="AF92">
        <v>34.86</v>
      </c>
      <c r="AG92">
        <v>20</v>
      </c>
      <c r="AH92">
        <v>20</v>
      </c>
      <c r="AI92">
        <v>14.86</v>
      </c>
      <c r="AJ92">
        <v>14.86</v>
      </c>
      <c r="AK92">
        <v>42.63</v>
      </c>
      <c r="AL92">
        <v>0</v>
      </c>
      <c r="AM92">
        <v>268.18</v>
      </c>
      <c r="AN92">
        <v>0</v>
      </c>
      <c r="AO92">
        <v>14.86</v>
      </c>
      <c r="AP92">
        <v>14.86</v>
      </c>
      <c r="AQ92">
        <v>42.627653000000002</v>
      </c>
    </row>
    <row r="93" spans="1:43" x14ac:dyDescent="0.25">
      <c r="A93">
        <v>92</v>
      </c>
      <c r="B93" t="s">
        <v>71</v>
      </c>
      <c r="C93" t="s">
        <v>72</v>
      </c>
      <c r="D93" t="s">
        <v>73</v>
      </c>
      <c r="E93" t="s">
        <v>74</v>
      </c>
      <c r="F93">
        <v>240419311</v>
      </c>
      <c r="G93">
        <v>6574223</v>
      </c>
      <c r="H93" t="s">
        <v>91</v>
      </c>
      <c r="I93" t="s">
        <v>76</v>
      </c>
      <c r="J93" t="s">
        <v>91</v>
      </c>
      <c r="K93" t="s">
        <v>376</v>
      </c>
      <c r="L93" t="s">
        <v>285</v>
      </c>
      <c r="M93" t="s">
        <v>285</v>
      </c>
      <c r="N93" t="s">
        <v>286</v>
      </c>
      <c r="O93" t="s">
        <v>130</v>
      </c>
      <c r="P93" t="s">
        <v>77</v>
      </c>
      <c r="Q93" t="s">
        <v>107</v>
      </c>
      <c r="R93" t="s">
        <v>108</v>
      </c>
      <c r="S93" t="s">
        <v>84</v>
      </c>
      <c r="T93">
        <v>41201</v>
      </c>
      <c r="U93" t="s">
        <v>85</v>
      </c>
      <c r="V93">
        <v>51201</v>
      </c>
      <c r="W93" t="s">
        <v>81</v>
      </c>
      <c r="X93">
        <v>240419311</v>
      </c>
      <c r="Y93" t="s">
        <v>74</v>
      </c>
      <c r="Z93">
        <v>1</v>
      </c>
      <c r="AA93" t="s">
        <v>147</v>
      </c>
      <c r="AB93">
        <v>11.96</v>
      </c>
      <c r="AC93">
        <v>11.96</v>
      </c>
      <c r="AD93">
        <v>5.83</v>
      </c>
      <c r="AE93">
        <v>69.73</v>
      </c>
      <c r="AF93">
        <v>69.73</v>
      </c>
      <c r="AG93">
        <v>25</v>
      </c>
      <c r="AH93">
        <v>25</v>
      </c>
      <c r="AI93">
        <v>44.73</v>
      </c>
      <c r="AJ93">
        <v>44.73</v>
      </c>
      <c r="AK93">
        <v>64.150000000000006</v>
      </c>
      <c r="AL93">
        <v>0</v>
      </c>
      <c r="AM93">
        <v>268.18</v>
      </c>
      <c r="AN93">
        <v>0</v>
      </c>
      <c r="AO93">
        <v>44.73</v>
      </c>
      <c r="AP93">
        <v>44.73</v>
      </c>
      <c r="AQ93">
        <v>64.147424999999998</v>
      </c>
    </row>
    <row r="94" spans="1:43" x14ac:dyDescent="0.25">
      <c r="A94">
        <v>93</v>
      </c>
      <c r="B94" t="s">
        <v>71</v>
      </c>
      <c r="C94" t="s">
        <v>72</v>
      </c>
      <c r="D94" t="s">
        <v>73</v>
      </c>
      <c r="E94" t="s">
        <v>74</v>
      </c>
      <c r="F94">
        <v>240419943</v>
      </c>
      <c r="G94">
        <v>6574855</v>
      </c>
      <c r="H94" t="s">
        <v>91</v>
      </c>
      <c r="I94" t="s">
        <v>76</v>
      </c>
      <c r="J94" t="s">
        <v>91</v>
      </c>
      <c r="K94" t="s">
        <v>378</v>
      </c>
      <c r="L94" t="s">
        <v>285</v>
      </c>
      <c r="M94" t="s">
        <v>285</v>
      </c>
      <c r="N94" t="s">
        <v>286</v>
      </c>
      <c r="O94" t="s">
        <v>10</v>
      </c>
      <c r="P94" t="s">
        <v>77</v>
      </c>
      <c r="Q94" t="s">
        <v>247</v>
      </c>
      <c r="R94" t="s">
        <v>248</v>
      </c>
      <c r="S94" t="s">
        <v>84</v>
      </c>
      <c r="T94">
        <v>41201</v>
      </c>
      <c r="U94" t="s">
        <v>85</v>
      </c>
      <c r="V94">
        <v>51201</v>
      </c>
      <c r="W94" t="s">
        <v>81</v>
      </c>
      <c r="X94">
        <v>240419943</v>
      </c>
      <c r="Y94" t="s">
        <v>74</v>
      </c>
      <c r="Z94">
        <v>1</v>
      </c>
      <c r="AA94" t="s">
        <v>152</v>
      </c>
      <c r="AB94">
        <v>121.4</v>
      </c>
      <c r="AC94">
        <v>121.4</v>
      </c>
      <c r="AD94">
        <v>1.76</v>
      </c>
      <c r="AE94">
        <v>213.66</v>
      </c>
      <c r="AF94">
        <v>213.66</v>
      </c>
      <c r="AG94">
        <v>92.84</v>
      </c>
      <c r="AH94">
        <v>92.84</v>
      </c>
      <c r="AI94">
        <v>120.82</v>
      </c>
      <c r="AJ94">
        <v>120.82</v>
      </c>
      <c r="AK94">
        <v>56.55</v>
      </c>
      <c r="AL94">
        <v>0</v>
      </c>
      <c r="AM94">
        <v>213.66</v>
      </c>
      <c r="AN94">
        <v>0</v>
      </c>
      <c r="AO94">
        <v>120.82</v>
      </c>
      <c r="AP94">
        <v>120.82</v>
      </c>
      <c r="AQ94">
        <v>56.547786000000002</v>
      </c>
    </row>
    <row r="95" spans="1:43" x14ac:dyDescent="0.25">
      <c r="A95">
        <v>94</v>
      </c>
      <c r="B95" t="s">
        <v>71</v>
      </c>
      <c r="C95" t="s">
        <v>72</v>
      </c>
      <c r="D95" t="s">
        <v>73</v>
      </c>
      <c r="E95" t="s">
        <v>74</v>
      </c>
      <c r="F95">
        <v>240420176</v>
      </c>
      <c r="G95">
        <v>6575088</v>
      </c>
      <c r="H95" t="s">
        <v>91</v>
      </c>
      <c r="I95" t="s">
        <v>76</v>
      </c>
      <c r="J95" t="s">
        <v>91</v>
      </c>
      <c r="K95" t="s">
        <v>379</v>
      </c>
      <c r="L95" t="s">
        <v>285</v>
      </c>
      <c r="M95" t="s">
        <v>285</v>
      </c>
      <c r="N95" t="s">
        <v>286</v>
      </c>
      <c r="O95" t="s">
        <v>10</v>
      </c>
      <c r="P95" t="s">
        <v>77</v>
      </c>
      <c r="Q95" t="s">
        <v>89</v>
      </c>
      <c r="R95" t="s">
        <v>377</v>
      </c>
      <c r="S95" t="s">
        <v>84</v>
      </c>
      <c r="T95">
        <v>41201</v>
      </c>
      <c r="U95" t="s">
        <v>85</v>
      </c>
      <c r="V95">
        <v>51201</v>
      </c>
      <c r="W95" t="s">
        <v>81</v>
      </c>
      <c r="X95">
        <v>240420176</v>
      </c>
      <c r="Y95" t="s">
        <v>74</v>
      </c>
      <c r="Z95">
        <v>2</v>
      </c>
      <c r="AA95" t="s">
        <v>152</v>
      </c>
      <c r="AB95">
        <v>96.9</v>
      </c>
      <c r="AC95">
        <v>193.8</v>
      </c>
      <c r="AD95">
        <v>1.76</v>
      </c>
      <c r="AE95">
        <v>170.54499999999999</v>
      </c>
      <c r="AF95">
        <v>341.09</v>
      </c>
      <c r="AG95">
        <v>76</v>
      </c>
      <c r="AH95">
        <v>152</v>
      </c>
      <c r="AI95">
        <v>94.55</v>
      </c>
      <c r="AJ95">
        <v>189.09</v>
      </c>
      <c r="AK95">
        <v>55.44</v>
      </c>
      <c r="AL95">
        <v>0</v>
      </c>
      <c r="AM95">
        <v>341.09</v>
      </c>
      <c r="AN95">
        <v>0</v>
      </c>
      <c r="AO95">
        <v>94.545000000000002</v>
      </c>
      <c r="AP95">
        <v>189.09</v>
      </c>
      <c r="AQ95">
        <v>55.436981000000003</v>
      </c>
    </row>
    <row r="96" spans="1:43" x14ac:dyDescent="0.25">
      <c r="A96">
        <v>95</v>
      </c>
      <c r="B96" t="s">
        <v>71</v>
      </c>
      <c r="C96" t="s">
        <v>72</v>
      </c>
      <c r="D96" t="s">
        <v>73</v>
      </c>
      <c r="E96" t="s">
        <v>74</v>
      </c>
      <c r="F96">
        <v>240420287</v>
      </c>
      <c r="G96">
        <v>6575199</v>
      </c>
      <c r="H96" t="s">
        <v>91</v>
      </c>
      <c r="I96" t="s">
        <v>76</v>
      </c>
      <c r="J96" t="s">
        <v>91</v>
      </c>
      <c r="K96" t="s">
        <v>380</v>
      </c>
      <c r="L96" t="s">
        <v>285</v>
      </c>
      <c r="M96" t="s">
        <v>285</v>
      </c>
      <c r="N96" t="s">
        <v>286</v>
      </c>
      <c r="O96" t="s">
        <v>130</v>
      </c>
      <c r="P96" t="s">
        <v>77</v>
      </c>
      <c r="Q96" t="s">
        <v>381</v>
      </c>
      <c r="R96" t="s">
        <v>382</v>
      </c>
      <c r="S96" t="s">
        <v>84</v>
      </c>
      <c r="T96">
        <v>41201</v>
      </c>
      <c r="U96" t="s">
        <v>85</v>
      </c>
      <c r="V96">
        <v>51201</v>
      </c>
      <c r="W96" t="s">
        <v>81</v>
      </c>
      <c r="X96">
        <v>240420287</v>
      </c>
      <c r="Y96" t="s">
        <v>74</v>
      </c>
      <c r="Z96">
        <v>1</v>
      </c>
      <c r="AA96" t="s">
        <v>147</v>
      </c>
      <c r="AB96">
        <v>29</v>
      </c>
      <c r="AC96">
        <v>29</v>
      </c>
      <c r="AD96">
        <v>5.83</v>
      </c>
      <c r="AE96">
        <v>169.07</v>
      </c>
      <c r="AF96">
        <v>169.07</v>
      </c>
      <c r="AG96">
        <v>62</v>
      </c>
      <c r="AH96">
        <v>62</v>
      </c>
      <c r="AI96">
        <v>107.07</v>
      </c>
      <c r="AJ96">
        <v>107.07</v>
      </c>
      <c r="AK96">
        <v>63.33</v>
      </c>
      <c r="AL96">
        <v>0</v>
      </c>
      <c r="AM96">
        <v>169.07</v>
      </c>
      <c r="AN96">
        <v>0</v>
      </c>
      <c r="AO96">
        <v>107.07</v>
      </c>
      <c r="AP96">
        <v>107.07</v>
      </c>
      <c r="AQ96">
        <v>63.328797999999999</v>
      </c>
    </row>
    <row r="97" spans="1:43" x14ac:dyDescent="0.25">
      <c r="A97">
        <v>96</v>
      </c>
      <c r="B97" t="s">
        <v>71</v>
      </c>
      <c r="C97" t="s">
        <v>72</v>
      </c>
      <c r="D97" t="s">
        <v>73</v>
      </c>
      <c r="E97" t="s">
        <v>74</v>
      </c>
      <c r="F97">
        <v>240420716</v>
      </c>
      <c r="G97">
        <v>6575628</v>
      </c>
      <c r="H97" t="s">
        <v>91</v>
      </c>
      <c r="I97" t="s">
        <v>76</v>
      </c>
      <c r="J97" t="s">
        <v>91</v>
      </c>
      <c r="K97" t="s">
        <v>383</v>
      </c>
      <c r="L97" t="s">
        <v>285</v>
      </c>
      <c r="M97" t="s">
        <v>285</v>
      </c>
      <c r="N97" t="s">
        <v>286</v>
      </c>
      <c r="O97" t="s">
        <v>132</v>
      </c>
      <c r="P97" t="s">
        <v>77</v>
      </c>
      <c r="Q97" t="s">
        <v>157</v>
      </c>
      <c r="R97" t="s">
        <v>158</v>
      </c>
      <c r="S97" t="s">
        <v>105</v>
      </c>
      <c r="T97">
        <v>41201</v>
      </c>
      <c r="U97" t="s">
        <v>85</v>
      </c>
      <c r="V97">
        <v>51201</v>
      </c>
      <c r="W97" t="s">
        <v>81</v>
      </c>
      <c r="X97">
        <v>240420716</v>
      </c>
      <c r="Y97" t="s">
        <v>74</v>
      </c>
      <c r="Z97">
        <v>2</v>
      </c>
      <c r="AA97" t="s">
        <v>123</v>
      </c>
      <c r="AB97">
        <v>106.5</v>
      </c>
      <c r="AC97">
        <v>0</v>
      </c>
      <c r="AD97">
        <v>0</v>
      </c>
      <c r="AE97">
        <v>106.5</v>
      </c>
      <c r="AF97">
        <v>213</v>
      </c>
      <c r="AG97">
        <v>58.35</v>
      </c>
      <c r="AH97">
        <v>116.69</v>
      </c>
      <c r="AI97">
        <v>48.16</v>
      </c>
      <c r="AJ97">
        <v>96.31</v>
      </c>
      <c r="AK97">
        <v>45.22</v>
      </c>
      <c r="AL97">
        <v>0</v>
      </c>
      <c r="AM97">
        <v>213</v>
      </c>
      <c r="AN97">
        <v>0</v>
      </c>
      <c r="AO97">
        <v>48.155000000000001</v>
      </c>
      <c r="AP97">
        <v>96.31</v>
      </c>
      <c r="AQ97">
        <v>45.215961999999998</v>
      </c>
    </row>
    <row r="98" spans="1:43" x14ac:dyDescent="0.25">
      <c r="A98">
        <v>97</v>
      </c>
      <c r="B98" t="s">
        <v>71</v>
      </c>
      <c r="C98" t="s">
        <v>72</v>
      </c>
      <c r="D98" t="s">
        <v>73</v>
      </c>
      <c r="E98" t="s">
        <v>74</v>
      </c>
      <c r="F98">
        <v>240420818</v>
      </c>
      <c r="G98">
        <v>6575730</v>
      </c>
      <c r="H98" t="s">
        <v>91</v>
      </c>
      <c r="I98" t="s">
        <v>76</v>
      </c>
      <c r="J98" t="s">
        <v>91</v>
      </c>
      <c r="K98" t="s">
        <v>384</v>
      </c>
      <c r="L98" t="s">
        <v>285</v>
      </c>
      <c r="M98" t="s">
        <v>285</v>
      </c>
      <c r="N98" t="s">
        <v>286</v>
      </c>
      <c r="O98" t="s">
        <v>10</v>
      </c>
      <c r="P98" t="s">
        <v>77</v>
      </c>
      <c r="Q98" t="s">
        <v>166</v>
      </c>
      <c r="R98" t="s">
        <v>167</v>
      </c>
      <c r="S98" t="s">
        <v>105</v>
      </c>
      <c r="T98">
        <v>41201</v>
      </c>
      <c r="U98" t="s">
        <v>85</v>
      </c>
      <c r="V98">
        <v>51201</v>
      </c>
      <c r="W98" t="s">
        <v>81</v>
      </c>
      <c r="X98">
        <v>240420818</v>
      </c>
      <c r="Y98" t="s">
        <v>74</v>
      </c>
      <c r="Z98">
        <v>1</v>
      </c>
      <c r="AA98" t="s">
        <v>152</v>
      </c>
      <c r="AB98">
        <v>118.8</v>
      </c>
      <c r="AC98">
        <v>118.8</v>
      </c>
      <c r="AD98">
        <v>1.76</v>
      </c>
      <c r="AE98">
        <v>209.09</v>
      </c>
      <c r="AF98">
        <v>209.09</v>
      </c>
      <c r="AG98">
        <v>76.98</v>
      </c>
      <c r="AH98">
        <v>76.98</v>
      </c>
      <c r="AI98">
        <v>132.11000000000001</v>
      </c>
      <c r="AJ98">
        <v>132.11000000000001</v>
      </c>
      <c r="AK98">
        <v>63.18</v>
      </c>
      <c r="AL98">
        <v>0</v>
      </c>
      <c r="AM98">
        <v>209.09</v>
      </c>
      <c r="AN98">
        <v>0</v>
      </c>
      <c r="AO98">
        <v>132.11000000000001</v>
      </c>
      <c r="AP98">
        <v>132.11000000000001</v>
      </c>
      <c r="AQ98">
        <v>63.183318</v>
      </c>
    </row>
    <row r="99" spans="1:43" x14ac:dyDescent="0.25">
      <c r="A99">
        <v>98</v>
      </c>
      <c r="B99" t="s">
        <v>71</v>
      </c>
      <c r="C99" t="s">
        <v>72</v>
      </c>
      <c r="D99" t="s">
        <v>73</v>
      </c>
      <c r="E99" t="s">
        <v>74</v>
      </c>
      <c r="F99">
        <v>240421130</v>
      </c>
      <c r="G99">
        <v>6576042</v>
      </c>
      <c r="H99" t="s">
        <v>91</v>
      </c>
      <c r="I99" t="s">
        <v>76</v>
      </c>
      <c r="J99" t="s">
        <v>91</v>
      </c>
      <c r="K99" t="s">
        <v>385</v>
      </c>
      <c r="L99" t="s">
        <v>285</v>
      </c>
      <c r="M99" t="s">
        <v>285</v>
      </c>
      <c r="N99" t="s">
        <v>286</v>
      </c>
      <c r="O99" t="s">
        <v>130</v>
      </c>
      <c r="P99" t="s">
        <v>77</v>
      </c>
      <c r="Q99" t="s">
        <v>89</v>
      </c>
      <c r="R99" t="s">
        <v>377</v>
      </c>
      <c r="S99" t="s">
        <v>84</v>
      </c>
      <c r="T99">
        <v>41201</v>
      </c>
      <c r="U99" t="s">
        <v>85</v>
      </c>
      <c r="V99">
        <v>51201</v>
      </c>
      <c r="W99" t="s">
        <v>81</v>
      </c>
      <c r="X99">
        <v>240421130</v>
      </c>
      <c r="Y99" t="s">
        <v>74</v>
      </c>
      <c r="Z99">
        <v>3</v>
      </c>
      <c r="AA99" t="s">
        <v>147</v>
      </c>
      <c r="AB99">
        <v>28.06</v>
      </c>
      <c r="AC99">
        <v>84.18</v>
      </c>
      <c r="AD99">
        <v>5.83</v>
      </c>
      <c r="AE99">
        <v>163.59</v>
      </c>
      <c r="AF99">
        <v>490.77</v>
      </c>
      <c r="AG99">
        <v>76</v>
      </c>
      <c r="AH99">
        <v>228</v>
      </c>
      <c r="AI99">
        <v>87.59</v>
      </c>
      <c r="AJ99">
        <v>262.77</v>
      </c>
      <c r="AK99">
        <v>53.54</v>
      </c>
      <c r="AL99">
        <v>0</v>
      </c>
      <c r="AM99">
        <v>804.54</v>
      </c>
      <c r="AN99">
        <v>0</v>
      </c>
      <c r="AO99">
        <v>87.59</v>
      </c>
      <c r="AP99">
        <v>262.77</v>
      </c>
      <c r="AQ99">
        <v>53.542392</v>
      </c>
    </row>
    <row r="100" spans="1:43" x14ac:dyDescent="0.25">
      <c r="A100">
        <v>99</v>
      </c>
      <c r="B100" t="s">
        <v>71</v>
      </c>
      <c r="C100" t="s">
        <v>72</v>
      </c>
      <c r="D100" t="s">
        <v>73</v>
      </c>
      <c r="E100" t="s">
        <v>74</v>
      </c>
      <c r="F100">
        <v>240421130</v>
      </c>
      <c r="G100">
        <v>6576042</v>
      </c>
      <c r="H100" t="s">
        <v>91</v>
      </c>
      <c r="I100" t="s">
        <v>76</v>
      </c>
      <c r="J100" t="s">
        <v>91</v>
      </c>
      <c r="K100" t="s">
        <v>385</v>
      </c>
      <c r="L100" t="s">
        <v>285</v>
      </c>
      <c r="M100" t="s">
        <v>285</v>
      </c>
      <c r="N100" t="s">
        <v>286</v>
      </c>
      <c r="O100" t="s">
        <v>130</v>
      </c>
      <c r="P100" t="s">
        <v>77</v>
      </c>
      <c r="Q100" t="s">
        <v>82</v>
      </c>
      <c r="R100" t="s">
        <v>112</v>
      </c>
      <c r="S100" t="s">
        <v>84</v>
      </c>
      <c r="T100">
        <v>41201</v>
      </c>
      <c r="U100" t="s">
        <v>85</v>
      </c>
      <c r="V100">
        <v>51201</v>
      </c>
      <c r="W100" t="s">
        <v>81</v>
      </c>
      <c r="X100">
        <v>240421130</v>
      </c>
      <c r="Y100" t="s">
        <v>74</v>
      </c>
      <c r="Z100">
        <v>3</v>
      </c>
      <c r="AA100" t="s">
        <v>147</v>
      </c>
      <c r="AB100">
        <v>5.98</v>
      </c>
      <c r="AC100">
        <v>17.940000000000001</v>
      </c>
      <c r="AD100">
        <v>5.83</v>
      </c>
      <c r="AE100">
        <v>34.863332999999997</v>
      </c>
      <c r="AF100">
        <v>104.59</v>
      </c>
      <c r="AG100">
        <v>20</v>
      </c>
      <c r="AH100">
        <v>60</v>
      </c>
      <c r="AI100">
        <v>14.86</v>
      </c>
      <c r="AJ100">
        <v>44.59</v>
      </c>
      <c r="AK100">
        <v>42.63</v>
      </c>
      <c r="AL100">
        <v>0</v>
      </c>
      <c r="AM100">
        <v>804.54</v>
      </c>
      <c r="AN100">
        <v>0</v>
      </c>
      <c r="AO100">
        <v>14.863333000000001</v>
      </c>
      <c r="AP100">
        <v>44.59</v>
      </c>
      <c r="AQ100">
        <v>42.633138000000002</v>
      </c>
    </row>
    <row r="101" spans="1:43" x14ac:dyDescent="0.25">
      <c r="A101">
        <v>100</v>
      </c>
      <c r="B101" t="s">
        <v>71</v>
      </c>
      <c r="C101" t="s">
        <v>72</v>
      </c>
      <c r="D101" t="s">
        <v>73</v>
      </c>
      <c r="E101" t="s">
        <v>74</v>
      </c>
      <c r="F101">
        <v>240421130</v>
      </c>
      <c r="G101">
        <v>6576042</v>
      </c>
      <c r="H101" t="s">
        <v>91</v>
      </c>
      <c r="I101" t="s">
        <v>76</v>
      </c>
      <c r="J101" t="s">
        <v>91</v>
      </c>
      <c r="K101" t="s">
        <v>385</v>
      </c>
      <c r="L101" t="s">
        <v>285</v>
      </c>
      <c r="M101" t="s">
        <v>285</v>
      </c>
      <c r="N101" t="s">
        <v>286</v>
      </c>
      <c r="O101" t="s">
        <v>130</v>
      </c>
      <c r="P101" t="s">
        <v>77</v>
      </c>
      <c r="Q101" t="s">
        <v>107</v>
      </c>
      <c r="R101" t="s">
        <v>108</v>
      </c>
      <c r="S101" t="s">
        <v>84</v>
      </c>
      <c r="T101">
        <v>41201</v>
      </c>
      <c r="U101" t="s">
        <v>85</v>
      </c>
      <c r="V101">
        <v>51201</v>
      </c>
      <c r="W101" t="s">
        <v>81</v>
      </c>
      <c r="X101">
        <v>240421130</v>
      </c>
      <c r="Y101" t="s">
        <v>74</v>
      </c>
      <c r="Z101">
        <v>3</v>
      </c>
      <c r="AA101" t="s">
        <v>147</v>
      </c>
      <c r="AB101">
        <v>11.96</v>
      </c>
      <c r="AC101">
        <v>35.880000000000003</v>
      </c>
      <c r="AD101">
        <v>5.83</v>
      </c>
      <c r="AE101">
        <v>69.726665999999994</v>
      </c>
      <c r="AF101">
        <v>209.18</v>
      </c>
      <c r="AG101">
        <v>25</v>
      </c>
      <c r="AH101">
        <v>75</v>
      </c>
      <c r="AI101">
        <v>44.73</v>
      </c>
      <c r="AJ101">
        <v>134.18</v>
      </c>
      <c r="AK101">
        <v>64.150000000000006</v>
      </c>
      <c r="AL101">
        <v>0</v>
      </c>
      <c r="AM101">
        <v>804.54</v>
      </c>
      <c r="AN101">
        <v>0</v>
      </c>
      <c r="AO101">
        <v>44.726666000000002</v>
      </c>
      <c r="AP101">
        <v>134.18</v>
      </c>
      <c r="AQ101">
        <v>64.145711000000006</v>
      </c>
    </row>
    <row r="102" spans="1:43" x14ac:dyDescent="0.25">
      <c r="A102">
        <v>101</v>
      </c>
      <c r="B102" t="s">
        <v>71</v>
      </c>
      <c r="C102" t="s">
        <v>72</v>
      </c>
      <c r="D102" t="s">
        <v>73</v>
      </c>
      <c r="E102" t="s">
        <v>74</v>
      </c>
      <c r="F102">
        <v>240421219</v>
      </c>
      <c r="G102">
        <v>6576131</v>
      </c>
      <c r="H102" t="s">
        <v>91</v>
      </c>
      <c r="I102" t="s">
        <v>76</v>
      </c>
      <c r="J102" t="s">
        <v>91</v>
      </c>
      <c r="K102" t="s">
        <v>386</v>
      </c>
      <c r="L102" t="s">
        <v>285</v>
      </c>
      <c r="M102" t="s">
        <v>285</v>
      </c>
      <c r="N102" t="s">
        <v>286</v>
      </c>
      <c r="O102" t="s">
        <v>10</v>
      </c>
      <c r="P102" t="s">
        <v>77</v>
      </c>
      <c r="Q102" t="s">
        <v>212</v>
      </c>
      <c r="R102" t="s">
        <v>213</v>
      </c>
      <c r="S102" t="s">
        <v>105</v>
      </c>
      <c r="T102">
        <v>41201</v>
      </c>
      <c r="U102" t="s">
        <v>85</v>
      </c>
      <c r="V102">
        <v>51201</v>
      </c>
      <c r="W102" t="s">
        <v>81</v>
      </c>
      <c r="X102">
        <v>240421219</v>
      </c>
      <c r="Y102" t="s">
        <v>74</v>
      </c>
      <c r="Z102">
        <v>1</v>
      </c>
      <c r="AA102" t="s">
        <v>152</v>
      </c>
      <c r="AB102">
        <v>163.4</v>
      </c>
      <c r="AC102">
        <v>163.4</v>
      </c>
      <c r="AD102">
        <v>1.76</v>
      </c>
      <c r="AE102">
        <v>287.58</v>
      </c>
      <c r="AF102">
        <v>287.58</v>
      </c>
      <c r="AG102">
        <v>128</v>
      </c>
      <c r="AH102">
        <v>128</v>
      </c>
      <c r="AI102">
        <v>159.58000000000001</v>
      </c>
      <c r="AJ102">
        <v>159.58000000000001</v>
      </c>
      <c r="AK102">
        <v>55.49</v>
      </c>
      <c r="AL102">
        <v>0</v>
      </c>
      <c r="AM102">
        <v>287.58</v>
      </c>
      <c r="AN102">
        <v>0</v>
      </c>
      <c r="AO102">
        <v>159.58000000000001</v>
      </c>
      <c r="AP102">
        <v>159.58000000000001</v>
      </c>
      <c r="AQ102">
        <v>55.490645999999998</v>
      </c>
    </row>
    <row r="103" spans="1:43" x14ac:dyDescent="0.25">
      <c r="A103">
        <v>102</v>
      </c>
      <c r="B103" t="s">
        <v>71</v>
      </c>
      <c r="C103" t="s">
        <v>72</v>
      </c>
      <c r="D103" t="s">
        <v>73</v>
      </c>
      <c r="E103" t="s">
        <v>74</v>
      </c>
      <c r="F103">
        <v>240421252</v>
      </c>
      <c r="G103">
        <v>6576164</v>
      </c>
      <c r="H103" t="s">
        <v>91</v>
      </c>
      <c r="I103" t="s">
        <v>76</v>
      </c>
      <c r="J103" t="s">
        <v>91</v>
      </c>
      <c r="K103" t="s">
        <v>387</v>
      </c>
      <c r="L103" t="s">
        <v>285</v>
      </c>
      <c r="M103" t="s">
        <v>285</v>
      </c>
      <c r="N103" t="s">
        <v>286</v>
      </c>
      <c r="O103" t="s">
        <v>10</v>
      </c>
      <c r="P103" t="s">
        <v>77</v>
      </c>
      <c r="Q103" t="s">
        <v>82</v>
      </c>
      <c r="R103" t="s">
        <v>112</v>
      </c>
      <c r="S103" t="s">
        <v>84</v>
      </c>
      <c r="T103">
        <v>41201</v>
      </c>
      <c r="U103" t="s">
        <v>85</v>
      </c>
      <c r="V103">
        <v>51201</v>
      </c>
      <c r="W103" t="s">
        <v>81</v>
      </c>
      <c r="X103">
        <v>240421252</v>
      </c>
      <c r="Y103" t="s">
        <v>74</v>
      </c>
      <c r="Z103">
        <v>4</v>
      </c>
      <c r="AA103" t="s">
        <v>152</v>
      </c>
      <c r="AB103">
        <v>32.53</v>
      </c>
      <c r="AC103">
        <v>130.12</v>
      </c>
      <c r="AD103">
        <v>1.76</v>
      </c>
      <c r="AE103">
        <v>57.252499999999998</v>
      </c>
      <c r="AF103">
        <v>229.01</v>
      </c>
      <c r="AG103">
        <v>20</v>
      </c>
      <c r="AH103">
        <v>80</v>
      </c>
      <c r="AI103">
        <v>37.25</v>
      </c>
      <c r="AJ103">
        <v>149.01</v>
      </c>
      <c r="AK103">
        <v>65.069999999999993</v>
      </c>
      <c r="AL103">
        <v>0</v>
      </c>
      <c r="AM103">
        <v>229.01</v>
      </c>
      <c r="AN103">
        <v>0</v>
      </c>
      <c r="AO103">
        <v>37.252499999999998</v>
      </c>
      <c r="AP103">
        <v>149.01</v>
      </c>
      <c r="AQ103">
        <v>65.067026999999996</v>
      </c>
    </row>
    <row r="104" spans="1:43" x14ac:dyDescent="0.25">
      <c r="A104">
        <v>103</v>
      </c>
      <c r="B104" t="s">
        <v>71</v>
      </c>
      <c r="C104" t="s">
        <v>72</v>
      </c>
      <c r="D104" t="s">
        <v>73</v>
      </c>
      <c r="E104" t="s">
        <v>74</v>
      </c>
      <c r="F104">
        <v>240421258</v>
      </c>
      <c r="G104">
        <v>6576170</v>
      </c>
      <c r="H104" t="s">
        <v>91</v>
      </c>
      <c r="I104" t="s">
        <v>76</v>
      </c>
      <c r="J104" t="s">
        <v>91</v>
      </c>
      <c r="K104" t="s">
        <v>388</v>
      </c>
      <c r="L104" t="s">
        <v>285</v>
      </c>
      <c r="M104" t="s">
        <v>285</v>
      </c>
      <c r="N104" t="s">
        <v>286</v>
      </c>
      <c r="O104" t="s">
        <v>130</v>
      </c>
      <c r="P104" t="s">
        <v>77</v>
      </c>
      <c r="Q104" t="s">
        <v>389</v>
      </c>
      <c r="R104" t="s">
        <v>390</v>
      </c>
      <c r="S104" t="s">
        <v>84</v>
      </c>
      <c r="T104">
        <v>41201</v>
      </c>
      <c r="U104" t="s">
        <v>85</v>
      </c>
      <c r="V104">
        <v>51201</v>
      </c>
      <c r="W104" t="s">
        <v>81</v>
      </c>
      <c r="X104">
        <v>240421258</v>
      </c>
      <c r="Y104" t="s">
        <v>74</v>
      </c>
      <c r="Z104">
        <v>1</v>
      </c>
      <c r="AA104" t="s">
        <v>147</v>
      </c>
      <c r="AB104">
        <v>38</v>
      </c>
      <c r="AC104">
        <v>38</v>
      </c>
      <c r="AD104">
        <v>5.83</v>
      </c>
      <c r="AE104">
        <v>221.54</v>
      </c>
      <c r="AF104">
        <v>221.54</v>
      </c>
      <c r="AG104">
        <v>83.21</v>
      </c>
      <c r="AH104">
        <v>83.21</v>
      </c>
      <c r="AI104">
        <v>138.33000000000001</v>
      </c>
      <c r="AJ104">
        <v>138.33000000000001</v>
      </c>
      <c r="AK104">
        <v>62.44</v>
      </c>
      <c r="AL104">
        <v>0</v>
      </c>
      <c r="AM104">
        <v>571.34</v>
      </c>
      <c r="AN104">
        <v>0</v>
      </c>
      <c r="AO104">
        <v>138.33000000000001</v>
      </c>
      <c r="AP104">
        <v>138.33000000000001</v>
      </c>
      <c r="AQ104">
        <v>62.440190999999999</v>
      </c>
    </row>
    <row r="105" spans="1:43" x14ac:dyDescent="0.25">
      <c r="A105">
        <v>104</v>
      </c>
      <c r="B105" t="s">
        <v>71</v>
      </c>
      <c r="C105" t="s">
        <v>72</v>
      </c>
      <c r="D105" t="s">
        <v>73</v>
      </c>
      <c r="E105" t="s">
        <v>74</v>
      </c>
      <c r="F105">
        <v>240421258</v>
      </c>
      <c r="G105">
        <v>6576170</v>
      </c>
      <c r="H105" t="s">
        <v>91</v>
      </c>
      <c r="I105" t="s">
        <v>76</v>
      </c>
      <c r="J105" t="s">
        <v>91</v>
      </c>
      <c r="K105" t="s">
        <v>388</v>
      </c>
      <c r="L105" t="s">
        <v>285</v>
      </c>
      <c r="M105" t="s">
        <v>285</v>
      </c>
      <c r="N105" t="s">
        <v>286</v>
      </c>
      <c r="O105" t="s">
        <v>130</v>
      </c>
      <c r="P105" t="s">
        <v>77</v>
      </c>
      <c r="Q105" t="s">
        <v>391</v>
      </c>
      <c r="R105" t="s">
        <v>392</v>
      </c>
      <c r="S105" t="s">
        <v>84</v>
      </c>
      <c r="T105">
        <v>41201</v>
      </c>
      <c r="U105" t="s">
        <v>85</v>
      </c>
      <c r="V105">
        <v>51201</v>
      </c>
      <c r="W105" t="s">
        <v>81</v>
      </c>
      <c r="X105">
        <v>240421258</v>
      </c>
      <c r="Y105" t="s">
        <v>74</v>
      </c>
      <c r="Z105">
        <v>1</v>
      </c>
      <c r="AA105" t="s">
        <v>147</v>
      </c>
      <c r="AB105">
        <v>60</v>
      </c>
      <c r="AC105">
        <v>60</v>
      </c>
      <c r="AD105">
        <v>5.83</v>
      </c>
      <c r="AE105">
        <v>349.8</v>
      </c>
      <c r="AF105">
        <v>349.8</v>
      </c>
      <c r="AG105">
        <v>159.13999999999999</v>
      </c>
      <c r="AH105">
        <v>159.13999999999999</v>
      </c>
      <c r="AI105">
        <v>190.66</v>
      </c>
      <c r="AJ105">
        <v>190.66</v>
      </c>
      <c r="AK105">
        <v>54.51</v>
      </c>
      <c r="AL105">
        <v>0</v>
      </c>
      <c r="AM105">
        <v>571.34</v>
      </c>
      <c r="AN105">
        <v>0</v>
      </c>
      <c r="AO105">
        <v>190.66</v>
      </c>
      <c r="AP105">
        <v>190.66</v>
      </c>
      <c r="AQ105">
        <v>54.505431000000002</v>
      </c>
    </row>
    <row r="106" spans="1:43" x14ac:dyDescent="0.25">
      <c r="A106">
        <v>105</v>
      </c>
      <c r="B106" t="s">
        <v>71</v>
      </c>
      <c r="C106" t="s">
        <v>72</v>
      </c>
      <c r="D106" t="s">
        <v>73</v>
      </c>
      <c r="E106" t="s">
        <v>74</v>
      </c>
      <c r="F106">
        <v>240421497</v>
      </c>
      <c r="G106">
        <v>6576443</v>
      </c>
      <c r="H106" t="s">
        <v>92</v>
      </c>
      <c r="I106" t="s">
        <v>76</v>
      </c>
      <c r="J106" t="s">
        <v>92</v>
      </c>
      <c r="K106" t="s">
        <v>393</v>
      </c>
      <c r="L106" t="s">
        <v>285</v>
      </c>
      <c r="M106" t="s">
        <v>285</v>
      </c>
      <c r="N106" t="s">
        <v>286</v>
      </c>
      <c r="O106" t="s">
        <v>132</v>
      </c>
      <c r="P106" t="s">
        <v>77</v>
      </c>
      <c r="Q106" t="s">
        <v>394</v>
      </c>
      <c r="R106" t="s">
        <v>395</v>
      </c>
      <c r="S106" t="s">
        <v>105</v>
      </c>
      <c r="T106">
        <v>41201</v>
      </c>
      <c r="U106" t="s">
        <v>85</v>
      </c>
      <c r="V106">
        <v>51201</v>
      </c>
      <c r="W106" t="s">
        <v>81</v>
      </c>
      <c r="X106">
        <v>240421497</v>
      </c>
      <c r="Y106" t="s">
        <v>74</v>
      </c>
      <c r="Z106">
        <v>1</v>
      </c>
      <c r="AA106" t="s">
        <v>123</v>
      </c>
      <c r="AB106">
        <v>498</v>
      </c>
      <c r="AC106">
        <v>0</v>
      </c>
      <c r="AD106">
        <v>0</v>
      </c>
      <c r="AE106">
        <v>498</v>
      </c>
      <c r="AF106">
        <v>498</v>
      </c>
      <c r="AG106">
        <v>288.39999999999998</v>
      </c>
      <c r="AH106">
        <v>288.39999999999998</v>
      </c>
      <c r="AI106">
        <v>209.6</v>
      </c>
      <c r="AJ106">
        <v>209.6</v>
      </c>
      <c r="AK106">
        <v>42.09</v>
      </c>
      <c r="AL106">
        <v>0</v>
      </c>
      <c r="AM106">
        <v>498</v>
      </c>
      <c r="AN106">
        <v>0</v>
      </c>
      <c r="AO106">
        <v>209.6</v>
      </c>
      <c r="AP106">
        <v>209.6</v>
      </c>
      <c r="AQ106">
        <v>42.088352999999998</v>
      </c>
    </row>
    <row r="107" spans="1:43" x14ac:dyDescent="0.25">
      <c r="A107">
        <v>106</v>
      </c>
      <c r="B107" t="s">
        <v>71</v>
      </c>
      <c r="C107" t="s">
        <v>72</v>
      </c>
      <c r="D107" t="s">
        <v>73</v>
      </c>
      <c r="E107" t="s">
        <v>74</v>
      </c>
      <c r="F107">
        <v>240421551</v>
      </c>
      <c r="G107">
        <v>6576498</v>
      </c>
      <c r="H107" t="s">
        <v>92</v>
      </c>
      <c r="I107" t="s">
        <v>76</v>
      </c>
      <c r="J107" t="s">
        <v>92</v>
      </c>
      <c r="K107" t="s">
        <v>396</v>
      </c>
      <c r="L107" t="s">
        <v>285</v>
      </c>
      <c r="M107" t="s">
        <v>285</v>
      </c>
      <c r="N107" t="s">
        <v>286</v>
      </c>
      <c r="O107" t="s">
        <v>132</v>
      </c>
      <c r="P107" t="s">
        <v>77</v>
      </c>
      <c r="Q107" t="s">
        <v>397</v>
      </c>
      <c r="R107" t="s">
        <v>398</v>
      </c>
      <c r="S107" t="s">
        <v>84</v>
      </c>
      <c r="T107">
        <v>41201</v>
      </c>
      <c r="U107" t="s">
        <v>85</v>
      </c>
      <c r="V107">
        <v>51201</v>
      </c>
      <c r="W107" t="s">
        <v>81</v>
      </c>
      <c r="X107">
        <v>240421551</v>
      </c>
      <c r="Y107" t="s">
        <v>74</v>
      </c>
      <c r="Z107">
        <v>1</v>
      </c>
      <c r="AA107" t="s">
        <v>123</v>
      </c>
      <c r="AB107">
        <v>619</v>
      </c>
      <c r="AC107">
        <v>0</v>
      </c>
      <c r="AD107">
        <v>0</v>
      </c>
      <c r="AE107">
        <v>619</v>
      </c>
      <c r="AF107">
        <v>619</v>
      </c>
      <c r="AG107">
        <v>391</v>
      </c>
      <c r="AH107">
        <v>391</v>
      </c>
      <c r="AI107">
        <v>228</v>
      </c>
      <c r="AJ107">
        <v>228</v>
      </c>
      <c r="AK107">
        <v>36.83</v>
      </c>
      <c r="AL107">
        <v>0</v>
      </c>
      <c r="AM107">
        <v>619</v>
      </c>
      <c r="AN107">
        <v>0</v>
      </c>
      <c r="AO107">
        <v>228</v>
      </c>
      <c r="AP107">
        <v>228</v>
      </c>
      <c r="AQ107">
        <v>36.833601999999999</v>
      </c>
    </row>
    <row r="108" spans="1:43" x14ac:dyDescent="0.25">
      <c r="A108">
        <v>107</v>
      </c>
      <c r="B108" t="s">
        <v>71</v>
      </c>
      <c r="C108" t="s">
        <v>72</v>
      </c>
      <c r="D108" t="s">
        <v>73</v>
      </c>
      <c r="E108" t="s">
        <v>74</v>
      </c>
      <c r="F108">
        <v>240421668</v>
      </c>
      <c r="G108">
        <v>6576615</v>
      </c>
      <c r="H108" t="s">
        <v>92</v>
      </c>
      <c r="I108" t="s">
        <v>76</v>
      </c>
      <c r="J108" t="s">
        <v>92</v>
      </c>
      <c r="K108" t="s">
        <v>399</v>
      </c>
      <c r="L108" t="s">
        <v>285</v>
      </c>
      <c r="M108" t="s">
        <v>285</v>
      </c>
      <c r="N108" t="s">
        <v>286</v>
      </c>
      <c r="O108" t="s">
        <v>130</v>
      </c>
      <c r="P108" t="s">
        <v>77</v>
      </c>
      <c r="Q108" t="s">
        <v>400</v>
      </c>
      <c r="R108" t="s">
        <v>401</v>
      </c>
      <c r="S108" t="s">
        <v>84</v>
      </c>
      <c r="T108">
        <v>41201</v>
      </c>
      <c r="U108" t="s">
        <v>85</v>
      </c>
      <c r="V108">
        <v>51201</v>
      </c>
      <c r="W108" t="s">
        <v>81</v>
      </c>
      <c r="X108">
        <v>240421668</v>
      </c>
      <c r="Y108" t="s">
        <v>74</v>
      </c>
      <c r="Z108">
        <v>1</v>
      </c>
      <c r="AA108" t="s">
        <v>147</v>
      </c>
      <c r="AB108">
        <v>53</v>
      </c>
      <c r="AC108">
        <v>53</v>
      </c>
      <c r="AD108">
        <v>5.83</v>
      </c>
      <c r="AE108">
        <v>308.99</v>
      </c>
      <c r="AF108">
        <v>308.99</v>
      </c>
      <c r="AG108">
        <v>145</v>
      </c>
      <c r="AH108">
        <v>145</v>
      </c>
      <c r="AI108">
        <v>163.99</v>
      </c>
      <c r="AJ108">
        <v>163.99</v>
      </c>
      <c r="AK108">
        <v>53.07</v>
      </c>
      <c r="AL108">
        <v>0</v>
      </c>
      <c r="AM108">
        <v>308.99</v>
      </c>
      <c r="AN108">
        <v>0</v>
      </c>
      <c r="AO108">
        <v>163.99</v>
      </c>
      <c r="AP108">
        <v>163.99</v>
      </c>
      <c r="AQ108">
        <v>53.072913999999997</v>
      </c>
    </row>
    <row r="109" spans="1:43" x14ac:dyDescent="0.25">
      <c r="A109">
        <v>108</v>
      </c>
      <c r="B109" t="s">
        <v>71</v>
      </c>
      <c r="C109" t="s">
        <v>72</v>
      </c>
      <c r="D109" t="s">
        <v>73</v>
      </c>
      <c r="E109" t="s">
        <v>74</v>
      </c>
      <c r="F109">
        <v>240421674</v>
      </c>
      <c r="G109">
        <v>6576621</v>
      </c>
      <c r="H109" t="s">
        <v>92</v>
      </c>
      <c r="I109" t="s">
        <v>76</v>
      </c>
      <c r="J109" t="s">
        <v>92</v>
      </c>
      <c r="K109" t="s">
        <v>402</v>
      </c>
      <c r="L109" t="s">
        <v>285</v>
      </c>
      <c r="M109" t="s">
        <v>285</v>
      </c>
      <c r="N109" t="s">
        <v>286</v>
      </c>
      <c r="O109" t="s">
        <v>10</v>
      </c>
      <c r="P109" t="s">
        <v>77</v>
      </c>
      <c r="Q109" t="s">
        <v>89</v>
      </c>
      <c r="R109" t="s">
        <v>377</v>
      </c>
      <c r="S109" t="s">
        <v>84</v>
      </c>
      <c r="T109">
        <v>41201</v>
      </c>
      <c r="U109" t="s">
        <v>85</v>
      </c>
      <c r="V109">
        <v>51201</v>
      </c>
      <c r="W109" t="s">
        <v>81</v>
      </c>
      <c r="X109">
        <v>240421674</v>
      </c>
      <c r="Y109" t="s">
        <v>74</v>
      </c>
      <c r="Z109">
        <v>3</v>
      </c>
      <c r="AA109" t="s">
        <v>152</v>
      </c>
      <c r="AB109">
        <v>90.23</v>
      </c>
      <c r="AC109">
        <v>270.69</v>
      </c>
      <c r="AD109">
        <v>1.76</v>
      </c>
      <c r="AE109">
        <v>158.80333300000001</v>
      </c>
      <c r="AF109">
        <v>476.41</v>
      </c>
      <c r="AG109">
        <v>76</v>
      </c>
      <c r="AH109">
        <v>228</v>
      </c>
      <c r="AI109">
        <v>82.8</v>
      </c>
      <c r="AJ109">
        <v>248.41</v>
      </c>
      <c r="AK109">
        <v>52.14</v>
      </c>
      <c r="AL109">
        <v>0</v>
      </c>
      <c r="AM109">
        <v>476.41</v>
      </c>
      <c r="AN109">
        <v>0</v>
      </c>
      <c r="AO109">
        <v>82.803332999999995</v>
      </c>
      <c r="AP109">
        <v>248.41</v>
      </c>
      <c r="AQ109">
        <v>52.142062000000003</v>
      </c>
    </row>
    <row r="110" spans="1:43" x14ac:dyDescent="0.25">
      <c r="A110">
        <v>109</v>
      </c>
      <c r="B110" t="s">
        <v>71</v>
      </c>
      <c r="C110" t="s">
        <v>72</v>
      </c>
      <c r="D110" t="s">
        <v>73</v>
      </c>
      <c r="E110" t="s">
        <v>74</v>
      </c>
      <c r="F110">
        <v>240421691</v>
      </c>
      <c r="G110">
        <v>6576638</v>
      </c>
      <c r="H110" t="s">
        <v>92</v>
      </c>
      <c r="I110" t="s">
        <v>76</v>
      </c>
      <c r="J110" t="s">
        <v>92</v>
      </c>
      <c r="K110" t="s">
        <v>403</v>
      </c>
      <c r="L110" t="s">
        <v>285</v>
      </c>
      <c r="M110" t="s">
        <v>285</v>
      </c>
      <c r="N110" t="s">
        <v>286</v>
      </c>
      <c r="O110" t="s">
        <v>130</v>
      </c>
      <c r="P110" t="s">
        <v>77</v>
      </c>
      <c r="Q110" t="s">
        <v>404</v>
      </c>
      <c r="R110" t="s">
        <v>405</v>
      </c>
      <c r="S110" t="s">
        <v>105</v>
      </c>
      <c r="T110">
        <v>41201</v>
      </c>
      <c r="U110" t="s">
        <v>85</v>
      </c>
      <c r="V110">
        <v>51201</v>
      </c>
      <c r="W110" t="s">
        <v>81</v>
      </c>
      <c r="X110">
        <v>240421691</v>
      </c>
      <c r="Y110" t="s">
        <v>74</v>
      </c>
      <c r="Z110">
        <v>1</v>
      </c>
      <c r="AA110" t="s">
        <v>147</v>
      </c>
      <c r="AB110">
        <v>24.8</v>
      </c>
      <c r="AC110">
        <v>24.8</v>
      </c>
      <c r="AD110">
        <v>5.83</v>
      </c>
      <c r="AE110">
        <v>144.58000000000001</v>
      </c>
      <c r="AF110">
        <v>144.58000000000001</v>
      </c>
      <c r="AG110">
        <v>76</v>
      </c>
      <c r="AH110">
        <v>76</v>
      </c>
      <c r="AI110">
        <v>68.58</v>
      </c>
      <c r="AJ110">
        <v>68.58</v>
      </c>
      <c r="AK110">
        <v>47.43</v>
      </c>
      <c r="AL110">
        <v>0</v>
      </c>
      <c r="AM110">
        <v>466.39</v>
      </c>
      <c r="AN110">
        <v>0</v>
      </c>
      <c r="AO110">
        <v>68.58</v>
      </c>
      <c r="AP110">
        <v>68.58</v>
      </c>
      <c r="AQ110">
        <v>47.433945999999999</v>
      </c>
    </row>
    <row r="111" spans="1:43" x14ac:dyDescent="0.25">
      <c r="A111">
        <v>110</v>
      </c>
      <c r="B111" t="s">
        <v>71</v>
      </c>
      <c r="C111" t="s">
        <v>72</v>
      </c>
      <c r="D111" t="s">
        <v>73</v>
      </c>
      <c r="E111" t="s">
        <v>74</v>
      </c>
      <c r="F111">
        <v>240421691</v>
      </c>
      <c r="G111">
        <v>6576638</v>
      </c>
      <c r="H111" t="s">
        <v>92</v>
      </c>
      <c r="I111" t="s">
        <v>76</v>
      </c>
      <c r="J111" t="s">
        <v>92</v>
      </c>
      <c r="K111" t="s">
        <v>403</v>
      </c>
      <c r="L111" t="s">
        <v>285</v>
      </c>
      <c r="M111" t="s">
        <v>285</v>
      </c>
      <c r="N111" t="s">
        <v>286</v>
      </c>
      <c r="O111" t="s">
        <v>130</v>
      </c>
      <c r="P111" t="s">
        <v>77</v>
      </c>
      <c r="Q111" t="s">
        <v>159</v>
      </c>
      <c r="R111" t="s">
        <v>160</v>
      </c>
      <c r="S111" t="s">
        <v>105</v>
      </c>
      <c r="T111">
        <v>41201</v>
      </c>
      <c r="U111" t="s">
        <v>85</v>
      </c>
      <c r="V111">
        <v>51201</v>
      </c>
      <c r="W111" t="s">
        <v>81</v>
      </c>
      <c r="X111">
        <v>240421691</v>
      </c>
      <c r="Y111" t="s">
        <v>74</v>
      </c>
      <c r="Z111">
        <v>1</v>
      </c>
      <c r="AA111" t="s">
        <v>147</v>
      </c>
      <c r="AB111">
        <v>20.8</v>
      </c>
      <c r="AC111">
        <v>20.8</v>
      </c>
      <c r="AD111">
        <v>5.83</v>
      </c>
      <c r="AE111">
        <v>121.26</v>
      </c>
      <c r="AF111">
        <v>121.26</v>
      </c>
      <c r="AG111">
        <v>58.34</v>
      </c>
      <c r="AH111">
        <v>58.34</v>
      </c>
      <c r="AI111">
        <v>62.92</v>
      </c>
      <c r="AJ111">
        <v>62.92</v>
      </c>
      <c r="AK111">
        <v>51.89</v>
      </c>
      <c r="AL111">
        <v>0</v>
      </c>
      <c r="AM111">
        <v>466.39</v>
      </c>
      <c r="AN111">
        <v>0</v>
      </c>
      <c r="AO111">
        <v>62.92</v>
      </c>
      <c r="AP111">
        <v>62.92</v>
      </c>
      <c r="AQ111">
        <v>51.888503999999998</v>
      </c>
    </row>
    <row r="112" spans="1:43" x14ac:dyDescent="0.25">
      <c r="A112">
        <v>111</v>
      </c>
      <c r="B112" t="s">
        <v>71</v>
      </c>
      <c r="C112" t="s">
        <v>72</v>
      </c>
      <c r="D112" t="s">
        <v>73</v>
      </c>
      <c r="E112" t="s">
        <v>74</v>
      </c>
      <c r="F112">
        <v>240421691</v>
      </c>
      <c r="G112">
        <v>6576638</v>
      </c>
      <c r="H112" t="s">
        <v>92</v>
      </c>
      <c r="I112" t="s">
        <v>76</v>
      </c>
      <c r="J112" t="s">
        <v>92</v>
      </c>
      <c r="K112" t="s">
        <v>403</v>
      </c>
      <c r="L112" t="s">
        <v>285</v>
      </c>
      <c r="M112" t="s">
        <v>285</v>
      </c>
      <c r="N112" t="s">
        <v>286</v>
      </c>
      <c r="O112" t="s">
        <v>130</v>
      </c>
      <c r="P112" t="s">
        <v>77</v>
      </c>
      <c r="Q112" t="s">
        <v>233</v>
      </c>
      <c r="R112" t="s">
        <v>234</v>
      </c>
      <c r="S112" t="s">
        <v>105</v>
      </c>
      <c r="T112">
        <v>41201</v>
      </c>
      <c r="U112" t="s">
        <v>85</v>
      </c>
      <c r="V112">
        <v>51201</v>
      </c>
      <c r="W112" t="s">
        <v>81</v>
      </c>
      <c r="X112">
        <v>240421691</v>
      </c>
      <c r="Y112" t="s">
        <v>74</v>
      </c>
      <c r="Z112">
        <v>1</v>
      </c>
      <c r="AA112" t="s">
        <v>147</v>
      </c>
      <c r="AB112">
        <v>34.4</v>
      </c>
      <c r="AC112">
        <v>34.4</v>
      </c>
      <c r="AD112">
        <v>5.83</v>
      </c>
      <c r="AE112">
        <v>200.55</v>
      </c>
      <c r="AF112">
        <v>200.55</v>
      </c>
      <c r="AG112">
        <v>93.4</v>
      </c>
      <c r="AH112">
        <v>93.4</v>
      </c>
      <c r="AI112">
        <v>107.15</v>
      </c>
      <c r="AJ112">
        <v>107.15</v>
      </c>
      <c r="AK112">
        <v>53.43</v>
      </c>
      <c r="AL112">
        <v>0</v>
      </c>
      <c r="AM112">
        <v>466.39</v>
      </c>
      <c r="AN112">
        <v>0</v>
      </c>
      <c r="AO112">
        <v>107.15</v>
      </c>
      <c r="AP112">
        <v>107.15</v>
      </c>
      <c r="AQ112">
        <v>53.428072</v>
      </c>
    </row>
    <row r="113" spans="1:43" x14ac:dyDescent="0.25">
      <c r="A113">
        <v>112</v>
      </c>
      <c r="B113" t="s">
        <v>71</v>
      </c>
      <c r="C113" t="s">
        <v>72</v>
      </c>
      <c r="D113" t="s">
        <v>73</v>
      </c>
      <c r="E113" t="s">
        <v>74</v>
      </c>
      <c r="F113">
        <v>240421706</v>
      </c>
      <c r="G113">
        <v>6576653</v>
      </c>
      <c r="H113" t="s">
        <v>92</v>
      </c>
      <c r="I113" t="s">
        <v>76</v>
      </c>
      <c r="J113" t="s">
        <v>92</v>
      </c>
      <c r="K113" t="s">
        <v>406</v>
      </c>
      <c r="L113" t="s">
        <v>285</v>
      </c>
      <c r="M113" t="s">
        <v>285</v>
      </c>
      <c r="N113" t="s">
        <v>286</v>
      </c>
      <c r="O113" t="s">
        <v>130</v>
      </c>
      <c r="P113" t="s">
        <v>77</v>
      </c>
      <c r="Q113" t="s">
        <v>296</v>
      </c>
      <c r="R113" t="s">
        <v>297</v>
      </c>
      <c r="S113" t="s">
        <v>84</v>
      </c>
      <c r="T113">
        <v>41201</v>
      </c>
      <c r="U113" t="s">
        <v>85</v>
      </c>
      <c r="V113">
        <v>51201</v>
      </c>
      <c r="W113" t="s">
        <v>81</v>
      </c>
      <c r="X113">
        <v>240421706</v>
      </c>
      <c r="Y113" t="s">
        <v>74</v>
      </c>
      <c r="Z113">
        <v>1</v>
      </c>
      <c r="AA113" t="s">
        <v>147</v>
      </c>
      <c r="AB113">
        <v>200</v>
      </c>
      <c r="AC113">
        <v>200</v>
      </c>
      <c r="AD113">
        <v>5.83</v>
      </c>
      <c r="AE113">
        <v>1166</v>
      </c>
      <c r="AF113">
        <v>1166</v>
      </c>
      <c r="AG113">
        <v>670</v>
      </c>
      <c r="AH113">
        <v>670</v>
      </c>
      <c r="AI113">
        <v>496</v>
      </c>
      <c r="AJ113">
        <v>496</v>
      </c>
      <c r="AK113">
        <v>42.54</v>
      </c>
      <c r="AL113">
        <v>0</v>
      </c>
      <c r="AM113">
        <v>1166</v>
      </c>
      <c r="AN113">
        <v>0</v>
      </c>
      <c r="AO113">
        <v>496</v>
      </c>
      <c r="AP113">
        <v>496</v>
      </c>
      <c r="AQ113">
        <v>42.538592999999999</v>
      </c>
    </row>
    <row r="114" spans="1:43" x14ac:dyDescent="0.25">
      <c r="A114">
        <v>113</v>
      </c>
      <c r="B114" t="s">
        <v>71</v>
      </c>
      <c r="C114" t="s">
        <v>72</v>
      </c>
      <c r="D114" t="s">
        <v>73</v>
      </c>
      <c r="E114" t="s">
        <v>74</v>
      </c>
      <c r="F114">
        <v>240422212</v>
      </c>
      <c r="G114">
        <v>6577159</v>
      </c>
      <c r="H114" t="s">
        <v>92</v>
      </c>
      <c r="I114" t="s">
        <v>76</v>
      </c>
      <c r="J114" t="s">
        <v>92</v>
      </c>
      <c r="K114" t="s">
        <v>407</v>
      </c>
      <c r="L114" t="s">
        <v>285</v>
      </c>
      <c r="M114" t="s">
        <v>285</v>
      </c>
      <c r="N114" t="s">
        <v>286</v>
      </c>
      <c r="O114" t="s">
        <v>10</v>
      </c>
      <c r="P114" t="s">
        <v>77</v>
      </c>
      <c r="Q114" t="s">
        <v>218</v>
      </c>
      <c r="R114" t="s">
        <v>219</v>
      </c>
      <c r="S114" t="s">
        <v>84</v>
      </c>
      <c r="T114">
        <v>41201</v>
      </c>
      <c r="U114" t="s">
        <v>85</v>
      </c>
      <c r="V114">
        <v>51201</v>
      </c>
      <c r="W114" t="s">
        <v>81</v>
      </c>
      <c r="X114">
        <v>240422212</v>
      </c>
      <c r="Y114" t="s">
        <v>74</v>
      </c>
      <c r="Z114">
        <v>1</v>
      </c>
      <c r="AA114" t="s">
        <v>152</v>
      </c>
      <c r="AB114">
        <v>203</v>
      </c>
      <c r="AC114">
        <v>203</v>
      </c>
      <c r="AD114">
        <v>1.76</v>
      </c>
      <c r="AE114">
        <v>357.28</v>
      </c>
      <c r="AF114">
        <v>357.28</v>
      </c>
      <c r="AG114">
        <v>175</v>
      </c>
      <c r="AH114">
        <v>175</v>
      </c>
      <c r="AI114">
        <v>182.28</v>
      </c>
      <c r="AJ114">
        <v>182.28</v>
      </c>
      <c r="AK114">
        <v>51.02</v>
      </c>
      <c r="AL114">
        <v>0</v>
      </c>
      <c r="AM114">
        <v>357.28</v>
      </c>
      <c r="AN114">
        <v>0</v>
      </c>
      <c r="AO114">
        <v>182.28</v>
      </c>
      <c r="AP114">
        <v>182.28</v>
      </c>
      <c r="AQ114">
        <v>51.018808</v>
      </c>
    </row>
    <row r="115" spans="1:43" x14ac:dyDescent="0.25">
      <c r="A115">
        <v>114</v>
      </c>
      <c r="B115" t="s">
        <v>71</v>
      </c>
      <c r="C115" t="s">
        <v>72</v>
      </c>
      <c r="D115" t="s">
        <v>73</v>
      </c>
      <c r="E115" t="s">
        <v>74</v>
      </c>
      <c r="F115">
        <v>240422225</v>
      </c>
      <c r="G115">
        <v>6577172</v>
      </c>
      <c r="H115" t="s">
        <v>92</v>
      </c>
      <c r="I115" t="s">
        <v>76</v>
      </c>
      <c r="J115" t="s">
        <v>92</v>
      </c>
      <c r="K115" t="s">
        <v>408</v>
      </c>
      <c r="L115" t="s">
        <v>285</v>
      </c>
      <c r="M115" t="s">
        <v>285</v>
      </c>
      <c r="N115" t="s">
        <v>286</v>
      </c>
      <c r="O115" t="s">
        <v>10</v>
      </c>
      <c r="P115" t="s">
        <v>77</v>
      </c>
      <c r="Q115" t="s">
        <v>262</v>
      </c>
      <c r="R115" t="s">
        <v>263</v>
      </c>
      <c r="S115" t="s">
        <v>84</v>
      </c>
      <c r="T115">
        <v>41201</v>
      </c>
      <c r="U115" t="s">
        <v>85</v>
      </c>
      <c r="V115">
        <v>51201</v>
      </c>
      <c r="W115" t="s">
        <v>81</v>
      </c>
      <c r="X115">
        <v>240422225</v>
      </c>
      <c r="Y115" t="s">
        <v>74</v>
      </c>
      <c r="Z115">
        <v>1</v>
      </c>
      <c r="AA115" t="s">
        <v>152</v>
      </c>
      <c r="AB115">
        <v>84.2</v>
      </c>
      <c r="AC115">
        <v>84.2</v>
      </c>
      <c r="AD115">
        <v>1.76</v>
      </c>
      <c r="AE115">
        <v>148.19</v>
      </c>
      <c r="AF115">
        <v>148.19</v>
      </c>
      <c r="AG115">
        <v>46.03</v>
      </c>
      <c r="AH115">
        <v>46.03</v>
      </c>
      <c r="AI115">
        <v>102.16</v>
      </c>
      <c r="AJ115">
        <v>102.16</v>
      </c>
      <c r="AK115">
        <v>68.94</v>
      </c>
      <c r="AL115">
        <v>0</v>
      </c>
      <c r="AM115">
        <v>148.19</v>
      </c>
      <c r="AN115">
        <v>0</v>
      </c>
      <c r="AO115">
        <v>102.16</v>
      </c>
      <c r="AP115">
        <v>102.16</v>
      </c>
      <c r="AQ115">
        <v>68.938524000000001</v>
      </c>
    </row>
    <row r="116" spans="1:43" x14ac:dyDescent="0.25">
      <c r="A116">
        <v>115</v>
      </c>
      <c r="B116" t="s">
        <v>71</v>
      </c>
      <c r="C116" t="s">
        <v>72</v>
      </c>
      <c r="D116" t="s">
        <v>73</v>
      </c>
      <c r="E116" t="s">
        <v>74</v>
      </c>
      <c r="F116">
        <v>240422400</v>
      </c>
      <c r="G116">
        <v>6577347</v>
      </c>
      <c r="H116" t="s">
        <v>92</v>
      </c>
      <c r="I116" t="s">
        <v>76</v>
      </c>
      <c r="J116" t="s">
        <v>92</v>
      </c>
      <c r="K116" t="s">
        <v>409</v>
      </c>
      <c r="L116" t="s">
        <v>285</v>
      </c>
      <c r="M116" t="s">
        <v>285</v>
      </c>
      <c r="N116" t="s">
        <v>286</v>
      </c>
      <c r="O116" t="s">
        <v>132</v>
      </c>
      <c r="P116" t="s">
        <v>77</v>
      </c>
      <c r="Q116" t="s">
        <v>410</v>
      </c>
      <c r="R116" t="s">
        <v>411</v>
      </c>
      <c r="S116" t="s">
        <v>105</v>
      </c>
      <c r="T116">
        <v>41201</v>
      </c>
      <c r="U116" t="s">
        <v>85</v>
      </c>
      <c r="V116">
        <v>51201</v>
      </c>
      <c r="W116" t="s">
        <v>81</v>
      </c>
      <c r="X116">
        <v>240422400</v>
      </c>
      <c r="Y116" t="s">
        <v>74</v>
      </c>
      <c r="Z116">
        <v>1</v>
      </c>
      <c r="AA116" t="s">
        <v>123</v>
      </c>
      <c r="AB116">
        <v>263</v>
      </c>
      <c r="AC116">
        <v>0</v>
      </c>
      <c r="AD116">
        <v>0</v>
      </c>
      <c r="AE116">
        <v>263</v>
      </c>
      <c r="AF116">
        <v>263</v>
      </c>
      <c r="AG116">
        <v>150.94</v>
      </c>
      <c r="AH116">
        <v>150.94</v>
      </c>
      <c r="AI116">
        <v>112.06</v>
      </c>
      <c r="AJ116">
        <v>112.06</v>
      </c>
      <c r="AK116">
        <v>42.61</v>
      </c>
      <c r="AL116">
        <v>0</v>
      </c>
      <c r="AM116">
        <v>263</v>
      </c>
      <c r="AN116">
        <v>0</v>
      </c>
      <c r="AO116">
        <v>112.06</v>
      </c>
      <c r="AP116">
        <v>112.06</v>
      </c>
      <c r="AQ116">
        <v>42.608364999999999</v>
      </c>
    </row>
    <row r="117" spans="1:43" x14ac:dyDescent="0.25">
      <c r="A117">
        <v>116</v>
      </c>
      <c r="B117" t="s">
        <v>71</v>
      </c>
      <c r="C117" t="s">
        <v>72</v>
      </c>
      <c r="D117" t="s">
        <v>73</v>
      </c>
      <c r="E117" t="s">
        <v>74</v>
      </c>
      <c r="F117">
        <v>240422543</v>
      </c>
      <c r="G117">
        <v>6577490</v>
      </c>
      <c r="H117" t="s">
        <v>92</v>
      </c>
      <c r="I117" t="s">
        <v>76</v>
      </c>
      <c r="J117" t="s">
        <v>92</v>
      </c>
      <c r="K117" t="s">
        <v>412</v>
      </c>
      <c r="L117" t="s">
        <v>285</v>
      </c>
      <c r="M117" t="s">
        <v>285</v>
      </c>
      <c r="N117" t="s">
        <v>286</v>
      </c>
      <c r="O117" t="s">
        <v>130</v>
      </c>
      <c r="P117" t="s">
        <v>77</v>
      </c>
      <c r="Q117" t="s">
        <v>98</v>
      </c>
      <c r="R117" t="s">
        <v>99</v>
      </c>
      <c r="S117" t="s">
        <v>84</v>
      </c>
      <c r="T117">
        <v>41201</v>
      </c>
      <c r="U117" t="s">
        <v>85</v>
      </c>
      <c r="V117">
        <v>51201</v>
      </c>
      <c r="W117" t="s">
        <v>81</v>
      </c>
      <c r="X117">
        <v>240422543</v>
      </c>
      <c r="Y117" t="s">
        <v>74</v>
      </c>
      <c r="Z117">
        <v>1</v>
      </c>
      <c r="AA117" t="s">
        <v>147</v>
      </c>
      <c r="AB117">
        <v>103</v>
      </c>
      <c r="AC117">
        <v>103</v>
      </c>
      <c r="AD117">
        <v>5.83</v>
      </c>
      <c r="AE117">
        <v>600.49</v>
      </c>
      <c r="AF117">
        <v>600.49</v>
      </c>
      <c r="AG117">
        <v>322</v>
      </c>
      <c r="AH117">
        <v>322</v>
      </c>
      <c r="AI117">
        <v>278.49</v>
      </c>
      <c r="AJ117">
        <v>278.49</v>
      </c>
      <c r="AK117">
        <v>46.38</v>
      </c>
      <c r="AL117">
        <v>0</v>
      </c>
      <c r="AM117">
        <v>600.49</v>
      </c>
      <c r="AN117">
        <v>0</v>
      </c>
      <c r="AO117">
        <v>278.49</v>
      </c>
      <c r="AP117">
        <v>278.49</v>
      </c>
      <c r="AQ117">
        <v>46.377124999999999</v>
      </c>
    </row>
    <row r="118" spans="1:43" x14ac:dyDescent="0.25">
      <c r="A118">
        <v>117</v>
      </c>
      <c r="B118" t="s">
        <v>71</v>
      </c>
      <c r="C118" t="s">
        <v>72</v>
      </c>
      <c r="D118" t="s">
        <v>73</v>
      </c>
      <c r="E118" t="s">
        <v>74</v>
      </c>
      <c r="F118">
        <v>240422639</v>
      </c>
      <c r="G118">
        <v>6577586</v>
      </c>
      <c r="H118" t="s">
        <v>92</v>
      </c>
      <c r="I118" t="s">
        <v>76</v>
      </c>
      <c r="J118" t="s">
        <v>92</v>
      </c>
      <c r="K118" t="s">
        <v>413</v>
      </c>
      <c r="L118" t="s">
        <v>285</v>
      </c>
      <c r="M118" t="s">
        <v>285</v>
      </c>
      <c r="N118" t="s">
        <v>286</v>
      </c>
      <c r="O118" t="s">
        <v>130</v>
      </c>
      <c r="P118" t="s">
        <v>77</v>
      </c>
      <c r="Q118" t="s">
        <v>182</v>
      </c>
      <c r="R118" t="s">
        <v>183</v>
      </c>
      <c r="S118" t="s">
        <v>84</v>
      </c>
      <c r="T118">
        <v>41201</v>
      </c>
      <c r="U118" t="s">
        <v>85</v>
      </c>
      <c r="V118">
        <v>51201</v>
      </c>
      <c r="W118" t="s">
        <v>81</v>
      </c>
      <c r="X118">
        <v>240422639</v>
      </c>
      <c r="Y118" t="s">
        <v>74</v>
      </c>
      <c r="Z118">
        <v>2</v>
      </c>
      <c r="AA118" t="s">
        <v>147</v>
      </c>
      <c r="AB118">
        <v>32.5</v>
      </c>
      <c r="AC118">
        <v>65</v>
      </c>
      <c r="AD118">
        <v>5.83</v>
      </c>
      <c r="AE118">
        <v>189.47499999999999</v>
      </c>
      <c r="AF118">
        <v>378.95</v>
      </c>
      <c r="AG118">
        <v>91.58</v>
      </c>
      <c r="AH118">
        <v>183.16</v>
      </c>
      <c r="AI118">
        <v>97.9</v>
      </c>
      <c r="AJ118">
        <v>195.79</v>
      </c>
      <c r="AK118">
        <v>51.67</v>
      </c>
      <c r="AL118">
        <v>0</v>
      </c>
      <c r="AM118">
        <v>378.95</v>
      </c>
      <c r="AN118">
        <v>0</v>
      </c>
      <c r="AO118">
        <v>97.894999999999996</v>
      </c>
      <c r="AP118">
        <v>195.79</v>
      </c>
      <c r="AQ118">
        <v>51.666446000000001</v>
      </c>
    </row>
    <row r="119" spans="1:43" x14ac:dyDescent="0.25">
      <c r="A119">
        <v>118</v>
      </c>
      <c r="B119" t="s">
        <v>71</v>
      </c>
      <c r="C119" t="s">
        <v>72</v>
      </c>
      <c r="D119" t="s">
        <v>73</v>
      </c>
      <c r="E119" t="s">
        <v>74</v>
      </c>
      <c r="F119">
        <v>240422935</v>
      </c>
      <c r="G119">
        <v>6577882</v>
      </c>
      <c r="H119" t="s">
        <v>92</v>
      </c>
      <c r="I119" t="s">
        <v>76</v>
      </c>
      <c r="J119" t="s">
        <v>92</v>
      </c>
      <c r="K119" t="s">
        <v>414</v>
      </c>
      <c r="L119" t="s">
        <v>285</v>
      </c>
      <c r="M119" t="s">
        <v>285</v>
      </c>
      <c r="N119" t="s">
        <v>286</v>
      </c>
      <c r="O119" t="s">
        <v>10</v>
      </c>
      <c r="P119" t="s">
        <v>77</v>
      </c>
      <c r="Q119" t="s">
        <v>89</v>
      </c>
      <c r="R119" t="s">
        <v>377</v>
      </c>
      <c r="S119" t="s">
        <v>84</v>
      </c>
      <c r="T119">
        <v>41201</v>
      </c>
      <c r="U119" t="s">
        <v>85</v>
      </c>
      <c r="V119">
        <v>51201</v>
      </c>
      <c r="W119" t="s">
        <v>81</v>
      </c>
      <c r="X119">
        <v>240422935</v>
      </c>
      <c r="Y119" t="s">
        <v>74</v>
      </c>
      <c r="Z119">
        <v>2</v>
      </c>
      <c r="AA119" t="s">
        <v>152</v>
      </c>
      <c r="AB119">
        <v>96.9</v>
      </c>
      <c r="AC119">
        <v>193.8</v>
      </c>
      <c r="AD119">
        <v>1.76</v>
      </c>
      <c r="AE119">
        <v>170.54499999999999</v>
      </c>
      <c r="AF119">
        <v>341.09</v>
      </c>
      <c r="AG119">
        <v>76</v>
      </c>
      <c r="AH119">
        <v>152</v>
      </c>
      <c r="AI119">
        <v>94.55</v>
      </c>
      <c r="AJ119">
        <v>189.09</v>
      </c>
      <c r="AK119">
        <v>55.44</v>
      </c>
      <c r="AL119">
        <v>0</v>
      </c>
      <c r="AM119">
        <v>341.09</v>
      </c>
      <c r="AN119">
        <v>0</v>
      </c>
      <c r="AO119">
        <v>94.545000000000002</v>
      </c>
      <c r="AP119">
        <v>189.09</v>
      </c>
      <c r="AQ119">
        <v>55.436981000000003</v>
      </c>
    </row>
    <row r="120" spans="1:43" x14ac:dyDescent="0.25">
      <c r="A120">
        <v>119</v>
      </c>
      <c r="B120" t="s">
        <v>71</v>
      </c>
      <c r="C120" t="s">
        <v>72</v>
      </c>
      <c r="D120" t="s">
        <v>73</v>
      </c>
      <c r="E120" t="s">
        <v>74</v>
      </c>
      <c r="F120">
        <v>240422966</v>
      </c>
      <c r="G120">
        <v>6577913</v>
      </c>
      <c r="H120" t="s">
        <v>92</v>
      </c>
      <c r="I120" t="s">
        <v>76</v>
      </c>
      <c r="J120" t="s">
        <v>92</v>
      </c>
      <c r="K120" t="s">
        <v>415</v>
      </c>
      <c r="L120" t="s">
        <v>285</v>
      </c>
      <c r="M120" t="s">
        <v>285</v>
      </c>
      <c r="N120" t="s">
        <v>286</v>
      </c>
      <c r="O120" t="s">
        <v>10</v>
      </c>
      <c r="P120" t="s">
        <v>77</v>
      </c>
      <c r="Q120" t="s">
        <v>98</v>
      </c>
      <c r="R120" t="s">
        <v>99</v>
      </c>
      <c r="S120" t="s">
        <v>84</v>
      </c>
      <c r="T120">
        <v>41201</v>
      </c>
      <c r="U120" t="s">
        <v>85</v>
      </c>
      <c r="V120">
        <v>51201</v>
      </c>
      <c r="W120" t="s">
        <v>81</v>
      </c>
      <c r="X120">
        <v>240422966</v>
      </c>
      <c r="Y120" t="s">
        <v>74</v>
      </c>
      <c r="Z120">
        <v>2</v>
      </c>
      <c r="AA120" t="s">
        <v>152</v>
      </c>
      <c r="AB120">
        <v>347.7</v>
      </c>
      <c r="AC120">
        <v>695.4</v>
      </c>
      <c r="AD120">
        <v>1.76</v>
      </c>
      <c r="AE120">
        <v>611.95000000000005</v>
      </c>
      <c r="AF120">
        <v>1223.9000000000001</v>
      </c>
      <c r="AG120">
        <v>322</v>
      </c>
      <c r="AH120">
        <v>644</v>
      </c>
      <c r="AI120">
        <v>289.95</v>
      </c>
      <c r="AJ120">
        <v>579.9</v>
      </c>
      <c r="AK120">
        <v>47.38</v>
      </c>
      <c r="AL120">
        <v>0</v>
      </c>
      <c r="AM120">
        <v>1223.9000000000001</v>
      </c>
      <c r="AN120">
        <v>0</v>
      </c>
      <c r="AO120">
        <v>289.95</v>
      </c>
      <c r="AP120">
        <v>579.9</v>
      </c>
      <c r="AQ120">
        <v>47.381321999999997</v>
      </c>
    </row>
    <row r="121" spans="1:43" x14ac:dyDescent="0.25">
      <c r="A121">
        <v>120</v>
      </c>
      <c r="B121" t="s">
        <v>71</v>
      </c>
      <c r="C121" t="s">
        <v>72</v>
      </c>
      <c r="D121" t="s">
        <v>73</v>
      </c>
      <c r="E121" t="s">
        <v>74</v>
      </c>
      <c r="F121">
        <v>240423054</v>
      </c>
      <c r="G121">
        <v>6578001</v>
      </c>
      <c r="H121" t="s">
        <v>92</v>
      </c>
      <c r="I121" t="s">
        <v>76</v>
      </c>
      <c r="J121" t="s">
        <v>92</v>
      </c>
      <c r="K121" t="s">
        <v>416</v>
      </c>
      <c r="L121" t="s">
        <v>285</v>
      </c>
      <c r="M121" t="s">
        <v>285</v>
      </c>
      <c r="N121" t="s">
        <v>286</v>
      </c>
      <c r="O121" t="s">
        <v>10</v>
      </c>
      <c r="P121" t="s">
        <v>77</v>
      </c>
      <c r="Q121" t="s">
        <v>210</v>
      </c>
      <c r="R121" t="s">
        <v>211</v>
      </c>
      <c r="S121" t="s">
        <v>84</v>
      </c>
      <c r="T121">
        <v>41201</v>
      </c>
      <c r="U121" t="s">
        <v>85</v>
      </c>
      <c r="V121">
        <v>51201</v>
      </c>
      <c r="W121" t="s">
        <v>81</v>
      </c>
      <c r="X121">
        <v>240423054</v>
      </c>
      <c r="Y121" t="s">
        <v>74</v>
      </c>
      <c r="Z121">
        <v>1</v>
      </c>
      <c r="AA121" t="s">
        <v>152</v>
      </c>
      <c r="AB121">
        <v>97.9</v>
      </c>
      <c r="AC121">
        <v>97.9</v>
      </c>
      <c r="AD121">
        <v>1.76</v>
      </c>
      <c r="AE121">
        <v>172.3</v>
      </c>
      <c r="AF121">
        <v>172.3</v>
      </c>
      <c r="AG121">
        <v>62.94</v>
      </c>
      <c r="AH121">
        <v>62.94</v>
      </c>
      <c r="AI121">
        <v>109.36</v>
      </c>
      <c r="AJ121">
        <v>109.36</v>
      </c>
      <c r="AK121">
        <v>63.47</v>
      </c>
      <c r="AL121">
        <v>0</v>
      </c>
      <c r="AM121">
        <v>172.3</v>
      </c>
      <c r="AN121">
        <v>0</v>
      </c>
      <c r="AO121">
        <v>109.36</v>
      </c>
      <c r="AP121">
        <v>109.36</v>
      </c>
      <c r="AQ121">
        <v>63.470689999999998</v>
      </c>
    </row>
    <row r="122" spans="1:43" x14ac:dyDescent="0.25">
      <c r="A122">
        <v>121</v>
      </c>
      <c r="B122" t="s">
        <v>71</v>
      </c>
      <c r="C122" t="s">
        <v>72</v>
      </c>
      <c r="D122" t="s">
        <v>73</v>
      </c>
      <c r="E122" t="s">
        <v>74</v>
      </c>
      <c r="F122">
        <v>240423222</v>
      </c>
      <c r="G122">
        <v>6578169</v>
      </c>
      <c r="H122" t="s">
        <v>92</v>
      </c>
      <c r="I122" t="s">
        <v>76</v>
      </c>
      <c r="J122" t="s">
        <v>92</v>
      </c>
      <c r="K122" t="s">
        <v>417</v>
      </c>
      <c r="L122" t="s">
        <v>285</v>
      </c>
      <c r="M122" t="s">
        <v>285</v>
      </c>
      <c r="N122" t="s">
        <v>286</v>
      </c>
      <c r="O122" t="s">
        <v>130</v>
      </c>
      <c r="P122" t="s">
        <v>77</v>
      </c>
      <c r="Q122" t="s">
        <v>418</v>
      </c>
      <c r="R122" t="s">
        <v>419</v>
      </c>
      <c r="S122" t="s">
        <v>105</v>
      </c>
      <c r="T122">
        <v>41201</v>
      </c>
      <c r="U122" t="s">
        <v>85</v>
      </c>
      <c r="V122">
        <v>51201</v>
      </c>
      <c r="W122" t="s">
        <v>81</v>
      </c>
      <c r="X122">
        <v>240423222</v>
      </c>
      <c r="Y122" t="s">
        <v>74</v>
      </c>
      <c r="Z122">
        <v>1</v>
      </c>
      <c r="AA122" t="s">
        <v>147</v>
      </c>
      <c r="AB122">
        <v>36</v>
      </c>
      <c r="AC122">
        <v>36</v>
      </c>
      <c r="AD122">
        <v>5.83</v>
      </c>
      <c r="AE122">
        <v>209.88</v>
      </c>
      <c r="AF122">
        <v>209.88</v>
      </c>
      <c r="AG122">
        <v>86.66</v>
      </c>
      <c r="AH122">
        <v>86.66</v>
      </c>
      <c r="AI122">
        <v>123.22</v>
      </c>
      <c r="AJ122">
        <v>123.22</v>
      </c>
      <c r="AK122">
        <v>58.71</v>
      </c>
      <c r="AL122">
        <v>0</v>
      </c>
      <c r="AM122">
        <v>209.88</v>
      </c>
      <c r="AN122">
        <v>0</v>
      </c>
      <c r="AO122">
        <v>123.22</v>
      </c>
      <c r="AP122">
        <v>123.22</v>
      </c>
      <c r="AQ122">
        <v>58.709738000000002</v>
      </c>
    </row>
    <row r="123" spans="1:43" x14ac:dyDescent="0.25">
      <c r="A123">
        <v>122</v>
      </c>
      <c r="B123" t="s">
        <v>71</v>
      </c>
      <c r="C123" t="s">
        <v>72</v>
      </c>
      <c r="D123" t="s">
        <v>73</v>
      </c>
      <c r="E123" t="s">
        <v>74</v>
      </c>
      <c r="F123">
        <v>240423317</v>
      </c>
      <c r="G123">
        <v>6578264</v>
      </c>
      <c r="H123" t="s">
        <v>92</v>
      </c>
      <c r="I123" t="s">
        <v>76</v>
      </c>
      <c r="J123" t="s">
        <v>92</v>
      </c>
      <c r="K123" t="s">
        <v>420</v>
      </c>
      <c r="L123" t="s">
        <v>285</v>
      </c>
      <c r="M123" t="s">
        <v>285</v>
      </c>
      <c r="N123" t="s">
        <v>286</v>
      </c>
      <c r="O123" t="s">
        <v>132</v>
      </c>
      <c r="P123" t="s">
        <v>77</v>
      </c>
      <c r="Q123" t="s">
        <v>155</v>
      </c>
      <c r="R123" t="s">
        <v>156</v>
      </c>
      <c r="S123" t="s">
        <v>105</v>
      </c>
      <c r="T123">
        <v>41201</v>
      </c>
      <c r="U123" t="s">
        <v>85</v>
      </c>
      <c r="V123">
        <v>51201</v>
      </c>
      <c r="W123" t="s">
        <v>81</v>
      </c>
      <c r="X123">
        <v>240423317</v>
      </c>
      <c r="Y123" t="s">
        <v>74</v>
      </c>
      <c r="Z123">
        <v>1</v>
      </c>
      <c r="AA123" t="s">
        <v>123</v>
      </c>
      <c r="AB123">
        <v>214.48</v>
      </c>
      <c r="AC123">
        <v>0</v>
      </c>
      <c r="AD123">
        <v>0</v>
      </c>
      <c r="AE123">
        <v>214.48</v>
      </c>
      <c r="AF123">
        <v>214.48</v>
      </c>
      <c r="AG123">
        <v>128.88</v>
      </c>
      <c r="AH123">
        <v>128.88</v>
      </c>
      <c r="AI123">
        <v>85.6</v>
      </c>
      <c r="AJ123">
        <v>85.6</v>
      </c>
      <c r="AK123">
        <v>39.909999999999997</v>
      </c>
      <c r="AL123">
        <v>0</v>
      </c>
      <c r="AM123">
        <v>923</v>
      </c>
      <c r="AN123">
        <v>0</v>
      </c>
      <c r="AO123">
        <v>85.6</v>
      </c>
      <c r="AP123">
        <v>85.6</v>
      </c>
      <c r="AQ123">
        <v>39.910480999999997</v>
      </c>
    </row>
    <row r="124" spans="1:43" x14ac:dyDescent="0.25">
      <c r="A124">
        <v>123</v>
      </c>
      <c r="B124" t="s">
        <v>71</v>
      </c>
      <c r="C124" t="s">
        <v>72</v>
      </c>
      <c r="D124" t="s">
        <v>73</v>
      </c>
      <c r="E124" t="s">
        <v>74</v>
      </c>
      <c r="F124">
        <v>240423317</v>
      </c>
      <c r="G124">
        <v>6578264</v>
      </c>
      <c r="H124" t="s">
        <v>92</v>
      </c>
      <c r="I124" t="s">
        <v>76</v>
      </c>
      <c r="J124" t="s">
        <v>92</v>
      </c>
      <c r="K124" t="s">
        <v>420</v>
      </c>
      <c r="L124" t="s">
        <v>285</v>
      </c>
      <c r="M124" t="s">
        <v>285</v>
      </c>
      <c r="N124" t="s">
        <v>286</v>
      </c>
      <c r="O124" t="s">
        <v>132</v>
      </c>
      <c r="P124" t="s">
        <v>77</v>
      </c>
      <c r="Q124" t="s">
        <v>191</v>
      </c>
      <c r="R124" t="s">
        <v>192</v>
      </c>
      <c r="S124" t="s">
        <v>105</v>
      </c>
      <c r="T124">
        <v>41201</v>
      </c>
      <c r="U124" t="s">
        <v>85</v>
      </c>
      <c r="V124">
        <v>51201</v>
      </c>
      <c r="W124" t="s">
        <v>81</v>
      </c>
      <c r="X124">
        <v>240423317</v>
      </c>
      <c r="Y124" t="s">
        <v>74</v>
      </c>
      <c r="Z124">
        <v>1</v>
      </c>
      <c r="AA124" t="s">
        <v>123</v>
      </c>
      <c r="AB124">
        <v>253.52</v>
      </c>
      <c r="AC124">
        <v>0</v>
      </c>
      <c r="AD124">
        <v>0</v>
      </c>
      <c r="AE124">
        <v>253.52</v>
      </c>
      <c r="AF124">
        <v>253.52</v>
      </c>
      <c r="AG124">
        <v>138.84</v>
      </c>
      <c r="AH124">
        <v>138.84</v>
      </c>
      <c r="AI124">
        <v>114.68</v>
      </c>
      <c r="AJ124">
        <v>114.68</v>
      </c>
      <c r="AK124">
        <v>45.24</v>
      </c>
      <c r="AL124">
        <v>0</v>
      </c>
      <c r="AM124">
        <v>923</v>
      </c>
      <c r="AN124">
        <v>0</v>
      </c>
      <c r="AO124">
        <v>114.68</v>
      </c>
      <c r="AP124">
        <v>114.68</v>
      </c>
      <c r="AQ124">
        <v>45.235089000000002</v>
      </c>
    </row>
    <row r="125" spans="1:43" x14ac:dyDescent="0.25">
      <c r="A125">
        <v>124</v>
      </c>
      <c r="B125" t="s">
        <v>71</v>
      </c>
      <c r="C125" t="s">
        <v>72</v>
      </c>
      <c r="D125" t="s">
        <v>73</v>
      </c>
      <c r="E125" t="s">
        <v>74</v>
      </c>
      <c r="F125">
        <v>240423317</v>
      </c>
      <c r="G125">
        <v>6578264</v>
      </c>
      <c r="H125" t="s">
        <v>92</v>
      </c>
      <c r="I125" t="s">
        <v>76</v>
      </c>
      <c r="J125" t="s">
        <v>92</v>
      </c>
      <c r="K125" t="s">
        <v>420</v>
      </c>
      <c r="L125" t="s">
        <v>285</v>
      </c>
      <c r="M125" t="s">
        <v>285</v>
      </c>
      <c r="N125" t="s">
        <v>286</v>
      </c>
      <c r="O125" t="s">
        <v>132</v>
      </c>
      <c r="P125" t="s">
        <v>77</v>
      </c>
      <c r="Q125" t="s">
        <v>176</v>
      </c>
      <c r="R125" t="s">
        <v>177</v>
      </c>
      <c r="S125" t="s">
        <v>84</v>
      </c>
      <c r="T125">
        <v>41201</v>
      </c>
      <c r="U125" t="s">
        <v>85</v>
      </c>
      <c r="V125">
        <v>51201</v>
      </c>
      <c r="W125" t="s">
        <v>81</v>
      </c>
      <c r="X125">
        <v>240423317</v>
      </c>
      <c r="Y125" t="s">
        <v>74</v>
      </c>
      <c r="Z125">
        <v>2</v>
      </c>
      <c r="AA125" t="s">
        <v>123</v>
      </c>
      <c r="AB125">
        <v>227.5</v>
      </c>
      <c r="AC125">
        <v>0</v>
      </c>
      <c r="AD125">
        <v>0</v>
      </c>
      <c r="AE125">
        <v>227.5</v>
      </c>
      <c r="AF125">
        <v>455</v>
      </c>
      <c r="AG125">
        <v>136.53</v>
      </c>
      <c r="AH125">
        <v>273.05</v>
      </c>
      <c r="AI125">
        <v>90.98</v>
      </c>
      <c r="AJ125">
        <v>181.95</v>
      </c>
      <c r="AK125">
        <v>39.99</v>
      </c>
      <c r="AL125">
        <v>0</v>
      </c>
      <c r="AM125">
        <v>923</v>
      </c>
      <c r="AN125">
        <v>0</v>
      </c>
      <c r="AO125">
        <v>90.974999999999994</v>
      </c>
      <c r="AP125">
        <v>181.95</v>
      </c>
      <c r="AQ125">
        <v>39.98901</v>
      </c>
    </row>
    <row r="126" spans="1:43" x14ac:dyDescent="0.25">
      <c r="A126">
        <v>125</v>
      </c>
      <c r="B126" t="s">
        <v>71</v>
      </c>
      <c r="C126" t="s">
        <v>72</v>
      </c>
      <c r="D126" t="s">
        <v>73</v>
      </c>
      <c r="E126" t="s">
        <v>74</v>
      </c>
      <c r="F126">
        <v>240423339</v>
      </c>
      <c r="G126">
        <v>6578286</v>
      </c>
      <c r="H126" t="s">
        <v>92</v>
      </c>
      <c r="I126" t="s">
        <v>76</v>
      </c>
      <c r="J126" t="s">
        <v>92</v>
      </c>
      <c r="K126" t="s">
        <v>421</v>
      </c>
      <c r="L126" t="s">
        <v>285</v>
      </c>
      <c r="M126" t="s">
        <v>285</v>
      </c>
      <c r="N126" t="s">
        <v>286</v>
      </c>
      <c r="O126" t="s">
        <v>10</v>
      </c>
      <c r="P126" t="s">
        <v>77</v>
      </c>
      <c r="Q126" t="s">
        <v>107</v>
      </c>
      <c r="R126" t="s">
        <v>108</v>
      </c>
      <c r="S126" t="s">
        <v>84</v>
      </c>
      <c r="T126">
        <v>41201</v>
      </c>
      <c r="U126" t="s">
        <v>85</v>
      </c>
      <c r="V126">
        <v>51201</v>
      </c>
      <c r="W126" t="s">
        <v>81</v>
      </c>
      <c r="X126">
        <v>240423339</v>
      </c>
      <c r="Y126" t="s">
        <v>74</v>
      </c>
      <c r="Z126">
        <v>2</v>
      </c>
      <c r="AA126" t="s">
        <v>152</v>
      </c>
      <c r="AB126">
        <v>44.15</v>
      </c>
      <c r="AC126">
        <v>88.3</v>
      </c>
      <c r="AD126">
        <v>1.76</v>
      </c>
      <c r="AE126">
        <v>77.704999999999998</v>
      </c>
      <c r="AF126">
        <v>155.41</v>
      </c>
      <c r="AG126">
        <v>25</v>
      </c>
      <c r="AH126">
        <v>50</v>
      </c>
      <c r="AI126">
        <v>52.71</v>
      </c>
      <c r="AJ126">
        <v>105.41</v>
      </c>
      <c r="AK126">
        <v>67.83</v>
      </c>
      <c r="AL126">
        <v>0</v>
      </c>
      <c r="AM126">
        <v>155.41</v>
      </c>
      <c r="AN126">
        <v>0</v>
      </c>
      <c r="AO126">
        <v>52.704999999999998</v>
      </c>
      <c r="AP126">
        <v>105.41</v>
      </c>
      <c r="AQ126">
        <v>67.827038000000002</v>
      </c>
    </row>
    <row r="127" spans="1:43" x14ac:dyDescent="0.25">
      <c r="A127">
        <v>126</v>
      </c>
      <c r="B127" t="s">
        <v>71</v>
      </c>
      <c r="C127" t="s">
        <v>72</v>
      </c>
      <c r="D127" t="s">
        <v>73</v>
      </c>
      <c r="E127" t="s">
        <v>74</v>
      </c>
      <c r="F127">
        <v>240423475</v>
      </c>
      <c r="G127">
        <v>6578422</v>
      </c>
      <c r="H127" t="s">
        <v>92</v>
      </c>
      <c r="I127" t="s">
        <v>76</v>
      </c>
      <c r="J127" t="s">
        <v>92</v>
      </c>
      <c r="K127" t="s">
        <v>422</v>
      </c>
      <c r="L127" t="s">
        <v>285</v>
      </c>
      <c r="M127" t="s">
        <v>285</v>
      </c>
      <c r="N127" t="s">
        <v>286</v>
      </c>
      <c r="O127" t="s">
        <v>10</v>
      </c>
      <c r="P127" t="s">
        <v>77</v>
      </c>
      <c r="Q127" t="s">
        <v>82</v>
      </c>
      <c r="R127" t="s">
        <v>112</v>
      </c>
      <c r="S127" t="s">
        <v>84</v>
      </c>
      <c r="T127">
        <v>41201</v>
      </c>
      <c r="U127" t="s">
        <v>85</v>
      </c>
      <c r="V127">
        <v>51201</v>
      </c>
      <c r="W127" t="s">
        <v>81</v>
      </c>
      <c r="X127">
        <v>240423475</v>
      </c>
      <c r="Y127" t="s">
        <v>74</v>
      </c>
      <c r="Z127">
        <v>3</v>
      </c>
      <c r="AA127" t="s">
        <v>152</v>
      </c>
      <c r="AB127">
        <v>35.770000000000003</v>
      </c>
      <c r="AC127">
        <v>107.31</v>
      </c>
      <c r="AD127">
        <v>1.76</v>
      </c>
      <c r="AE127">
        <v>62.956665999999998</v>
      </c>
      <c r="AF127">
        <v>188.87</v>
      </c>
      <c r="AG127">
        <v>18</v>
      </c>
      <c r="AH127">
        <v>54</v>
      </c>
      <c r="AI127">
        <v>44.96</v>
      </c>
      <c r="AJ127">
        <v>134.87</v>
      </c>
      <c r="AK127">
        <v>71.41</v>
      </c>
      <c r="AL127">
        <v>0</v>
      </c>
      <c r="AM127">
        <v>188.87</v>
      </c>
      <c r="AN127">
        <v>0</v>
      </c>
      <c r="AO127">
        <v>44.956665999999998</v>
      </c>
      <c r="AP127">
        <v>134.87</v>
      </c>
      <c r="AQ127">
        <v>71.408905000000004</v>
      </c>
    </row>
    <row r="128" spans="1:43" x14ac:dyDescent="0.25">
      <c r="A128">
        <v>127</v>
      </c>
      <c r="B128" t="s">
        <v>71</v>
      </c>
      <c r="C128" t="s">
        <v>72</v>
      </c>
      <c r="D128" t="s">
        <v>73</v>
      </c>
      <c r="E128" t="s">
        <v>74</v>
      </c>
      <c r="F128">
        <v>240423500</v>
      </c>
      <c r="G128">
        <v>6578447</v>
      </c>
      <c r="H128" t="s">
        <v>92</v>
      </c>
      <c r="I128" t="s">
        <v>76</v>
      </c>
      <c r="J128" t="s">
        <v>92</v>
      </c>
      <c r="K128" t="s">
        <v>423</v>
      </c>
      <c r="L128" t="s">
        <v>285</v>
      </c>
      <c r="M128" t="s">
        <v>285</v>
      </c>
      <c r="N128" t="s">
        <v>286</v>
      </c>
      <c r="O128" t="s">
        <v>10</v>
      </c>
      <c r="P128" t="s">
        <v>77</v>
      </c>
      <c r="Q128" t="s">
        <v>424</v>
      </c>
      <c r="R128" t="s">
        <v>425</v>
      </c>
      <c r="S128" t="s">
        <v>202</v>
      </c>
      <c r="T128">
        <v>41201</v>
      </c>
      <c r="U128" t="s">
        <v>85</v>
      </c>
      <c r="V128">
        <v>51201</v>
      </c>
      <c r="W128" t="s">
        <v>81</v>
      </c>
      <c r="X128">
        <v>240423500</v>
      </c>
      <c r="Y128" t="s">
        <v>74</v>
      </c>
      <c r="Z128">
        <v>1</v>
      </c>
      <c r="AA128" t="s">
        <v>152</v>
      </c>
      <c r="AB128">
        <v>138.6</v>
      </c>
      <c r="AC128">
        <v>138.6</v>
      </c>
      <c r="AD128">
        <v>1.76</v>
      </c>
      <c r="AE128">
        <v>243.94</v>
      </c>
      <c r="AF128">
        <v>243.94</v>
      </c>
      <c r="AG128">
        <v>78.209999999999994</v>
      </c>
      <c r="AH128">
        <v>78.209999999999994</v>
      </c>
      <c r="AI128">
        <v>165.73</v>
      </c>
      <c r="AJ128">
        <v>165.73</v>
      </c>
      <c r="AK128">
        <v>67.94</v>
      </c>
      <c r="AL128">
        <v>0</v>
      </c>
      <c r="AM128">
        <v>243.94</v>
      </c>
      <c r="AN128">
        <v>0</v>
      </c>
      <c r="AO128">
        <v>165.73</v>
      </c>
      <c r="AP128">
        <v>165.73</v>
      </c>
      <c r="AQ128">
        <v>67.938837000000007</v>
      </c>
    </row>
    <row r="129" spans="1:43" x14ac:dyDescent="0.25">
      <c r="A129">
        <v>128</v>
      </c>
      <c r="B129" t="s">
        <v>71</v>
      </c>
      <c r="C129" t="s">
        <v>72</v>
      </c>
      <c r="D129" t="s">
        <v>73</v>
      </c>
      <c r="E129" t="s">
        <v>74</v>
      </c>
      <c r="F129">
        <v>240423615</v>
      </c>
      <c r="G129">
        <v>6578563</v>
      </c>
      <c r="H129" t="s">
        <v>92</v>
      </c>
      <c r="I129" t="s">
        <v>76</v>
      </c>
      <c r="J129" t="s">
        <v>92</v>
      </c>
      <c r="K129" t="s">
        <v>426</v>
      </c>
      <c r="L129" t="s">
        <v>285</v>
      </c>
      <c r="M129" t="s">
        <v>285</v>
      </c>
      <c r="N129" t="s">
        <v>286</v>
      </c>
      <c r="O129" t="s">
        <v>10</v>
      </c>
      <c r="P129" t="s">
        <v>77</v>
      </c>
      <c r="Q129" t="s">
        <v>82</v>
      </c>
      <c r="R129" t="s">
        <v>112</v>
      </c>
      <c r="S129" t="s">
        <v>84</v>
      </c>
      <c r="T129">
        <v>41201</v>
      </c>
      <c r="U129" t="s">
        <v>85</v>
      </c>
      <c r="V129">
        <v>51201</v>
      </c>
      <c r="W129" t="s">
        <v>81</v>
      </c>
      <c r="X129">
        <v>240423615</v>
      </c>
      <c r="Y129" t="s">
        <v>74</v>
      </c>
      <c r="Z129">
        <v>6</v>
      </c>
      <c r="AA129" t="s">
        <v>152</v>
      </c>
      <c r="AB129">
        <v>29.92</v>
      </c>
      <c r="AC129">
        <v>179.52</v>
      </c>
      <c r="AD129">
        <v>1.76</v>
      </c>
      <c r="AE129">
        <v>52.66</v>
      </c>
      <c r="AF129">
        <v>315.95999999999998</v>
      </c>
      <c r="AG129">
        <v>18</v>
      </c>
      <c r="AH129">
        <v>108</v>
      </c>
      <c r="AI129">
        <v>34.659999999999997</v>
      </c>
      <c r="AJ129">
        <v>207.96</v>
      </c>
      <c r="AK129">
        <v>65.819999999999993</v>
      </c>
      <c r="AL129">
        <v>0</v>
      </c>
      <c r="AM129">
        <v>755.68</v>
      </c>
      <c r="AN129">
        <v>0</v>
      </c>
      <c r="AO129">
        <v>34.659999999999997</v>
      </c>
      <c r="AP129">
        <v>207.96</v>
      </c>
      <c r="AQ129">
        <v>65.818458000000007</v>
      </c>
    </row>
    <row r="130" spans="1:43" x14ac:dyDescent="0.25">
      <c r="A130">
        <v>129</v>
      </c>
      <c r="B130" t="s">
        <v>71</v>
      </c>
      <c r="C130" t="s">
        <v>72</v>
      </c>
      <c r="D130" t="s">
        <v>73</v>
      </c>
      <c r="E130" t="s">
        <v>74</v>
      </c>
      <c r="F130">
        <v>240423615</v>
      </c>
      <c r="G130">
        <v>6578563</v>
      </c>
      <c r="H130" t="s">
        <v>92</v>
      </c>
      <c r="I130" t="s">
        <v>76</v>
      </c>
      <c r="J130" t="s">
        <v>92</v>
      </c>
      <c r="K130" t="s">
        <v>426</v>
      </c>
      <c r="L130" t="s">
        <v>285</v>
      </c>
      <c r="M130" t="s">
        <v>285</v>
      </c>
      <c r="N130" t="s">
        <v>286</v>
      </c>
      <c r="O130" t="s">
        <v>10</v>
      </c>
      <c r="P130" t="s">
        <v>77</v>
      </c>
      <c r="Q130" t="s">
        <v>107</v>
      </c>
      <c r="R130" t="s">
        <v>108</v>
      </c>
      <c r="S130" t="s">
        <v>84</v>
      </c>
      <c r="T130">
        <v>41201</v>
      </c>
      <c r="U130" t="s">
        <v>85</v>
      </c>
      <c r="V130">
        <v>51201</v>
      </c>
      <c r="W130" t="s">
        <v>81</v>
      </c>
      <c r="X130">
        <v>240423615</v>
      </c>
      <c r="Y130" t="s">
        <v>74</v>
      </c>
      <c r="Z130">
        <v>8</v>
      </c>
      <c r="AA130" t="s">
        <v>152</v>
      </c>
      <c r="AB130">
        <v>31.23</v>
      </c>
      <c r="AC130">
        <v>249.84</v>
      </c>
      <c r="AD130">
        <v>1.76</v>
      </c>
      <c r="AE130">
        <v>54.965000000000003</v>
      </c>
      <c r="AF130">
        <v>439.72</v>
      </c>
      <c r="AG130">
        <v>22</v>
      </c>
      <c r="AH130">
        <v>176</v>
      </c>
      <c r="AI130">
        <v>32.97</v>
      </c>
      <c r="AJ130">
        <v>263.72000000000003</v>
      </c>
      <c r="AK130">
        <v>59.97</v>
      </c>
      <c r="AL130">
        <v>0</v>
      </c>
      <c r="AM130">
        <v>755.68</v>
      </c>
      <c r="AN130">
        <v>0</v>
      </c>
      <c r="AO130">
        <v>32.965000000000003</v>
      </c>
      <c r="AP130">
        <v>263.72000000000003</v>
      </c>
      <c r="AQ130">
        <v>59.974528999999997</v>
      </c>
    </row>
    <row r="131" spans="1:43" x14ac:dyDescent="0.25">
      <c r="A131">
        <v>130</v>
      </c>
      <c r="B131" t="s">
        <v>71</v>
      </c>
      <c r="C131" t="s">
        <v>72</v>
      </c>
      <c r="D131" t="s">
        <v>73</v>
      </c>
      <c r="E131" t="s">
        <v>74</v>
      </c>
      <c r="F131">
        <v>240423634</v>
      </c>
      <c r="G131">
        <v>6578582</v>
      </c>
      <c r="H131" t="s">
        <v>92</v>
      </c>
      <c r="I131" t="s">
        <v>76</v>
      </c>
      <c r="J131" t="s">
        <v>92</v>
      </c>
      <c r="K131" t="s">
        <v>427</v>
      </c>
      <c r="L131" t="s">
        <v>285</v>
      </c>
      <c r="M131" t="s">
        <v>285</v>
      </c>
      <c r="N131" t="s">
        <v>286</v>
      </c>
      <c r="O131" t="s">
        <v>132</v>
      </c>
      <c r="P131" t="s">
        <v>77</v>
      </c>
      <c r="Q131" t="s">
        <v>159</v>
      </c>
      <c r="R131" t="s">
        <v>160</v>
      </c>
      <c r="S131" t="s">
        <v>105</v>
      </c>
      <c r="T131">
        <v>41201</v>
      </c>
      <c r="U131" t="s">
        <v>85</v>
      </c>
      <c r="V131">
        <v>51201</v>
      </c>
      <c r="W131" t="s">
        <v>81</v>
      </c>
      <c r="X131">
        <v>240423634</v>
      </c>
      <c r="Y131" t="s">
        <v>74</v>
      </c>
      <c r="Z131">
        <v>2</v>
      </c>
      <c r="AA131" t="s">
        <v>123</v>
      </c>
      <c r="AB131">
        <v>107</v>
      </c>
      <c r="AC131">
        <v>0</v>
      </c>
      <c r="AD131">
        <v>0</v>
      </c>
      <c r="AE131">
        <v>107</v>
      </c>
      <c r="AF131">
        <v>214</v>
      </c>
      <c r="AG131">
        <v>58.35</v>
      </c>
      <c r="AH131">
        <v>116.69</v>
      </c>
      <c r="AI131">
        <v>48.66</v>
      </c>
      <c r="AJ131">
        <v>97.31</v>
      </c>
      <c r="AK131">
        <v>45.47</v>
      </c>
      <c r="AL131">
        <v>0</v>
      </c>
      <c r="AM131">
        <v>214</v>
      </c>
      <c r="AN131">
        <v>0</v>
      </c>
      <c r="AO131">
        <v>48.655000000000001</v>
      </c>
      <c r="AP131">
        <v>97.31</v>
      </c>
      <c r="AQ131">
        <v>45.471961999999998</v>
      </c>
    </row>
    <row r="132" spans="1:43" x14ac:dyDescent="0.25">
      <c r="A132">
        <v>131</v>
      </c>
      <c r="B132" t="s">
        <v>71</v>
      </c>
      <c r="C132" t="s">
        <v>72</v>
      </c>
      <c r="D132" t="s">
        <v>73</v>
      </c>
      <c r="E132" t="s">
        <v>74</v>
      </c>
      <c r="F132">
        <v>240423776</v>
      </c>
      <c r="G132">
        <v>6578724</v>
      </c>
      <c r="H132" t="s">
        <v>92</v>
      </c>
      <c r="I132" t="s">
        <v>76</v>
      </c>
      <c r="J132" t="s">
        <v>92</v>
      </c>
      <c r="K132" t="s">
        <v>428</v>
      </c>
      <c r="L132" t="s">
        <v>285</v>
      </c>
      <c r="M132" t="s">
        <v>285</v>
      </c>
      <c r="N132" t="s">
        <v>286</v>
      </c>
      <c r="O132" t="s">
        <v>10</v>
      </c>
      <c r="P132" t="s">
        <v>77</v>
      </c>
      <c r="Q132" t="s">
        <v>115</v>
      </c>
      <c r="R132" t="s">
        <v>116</v>
      </c>
      <c r="S132" t="s">
        <v>105</v>
      </c>
      <c r="T132">
        <v>41201</v>
      </c>
      <c r="U132" t="s">
        <v>85</v>
      </c>
      <c r="V132">
        <v>51201</v>
      </c>
      <c r="W132" t="s">
        <v>81</v>
      </c>
      <c r="X132">
        <v>240423776</v>
      </c>
      <c r="Y132" t="s">
        <v>74</v>
      </c>
      <c r="Z132">
        <v>1</v>
      </c>
      <c r="AA132" t="s">
        <v>152</v>
      </c>
      <c r="AB132">
        <v>103.79</v>
      </c>
      <c r="AC132">
        <v>103.79</v>
      </c>
      <c r="AD132">
        <v>1.76</v>
      </c>
      <c r="AE132">
        <v>182.67</v>
      </c>
      <c r="AF132">
        <v>182.67</v>
      </c>
      <c r="AG132">
        <v>81.7</v>
      </c>
      <c r="AH132">
        <v>81.7</v>
      </c>
      <c r="AI132">
        <v>100.97</v>
      </c>
      <c r="AJ132">
        <v>100.97</v>
      </c>
      <c r="AK132">
        <v>55.27</v>
      </c>
      <c r="AL132">
        <v>0</v>
      </c>
      <c r="AM132">
        <v>505.3</v>
      </c>
      <c r="AN132">
        <v>0</v>
      </c>
      <c r="AO132">
        <v>100.97</v>
      </c>
      <c r="AP132">
        <v>100.97</v>
      </c>
      <c r="AQ132">
        <v>55.274538</v>
      </c>
    </row>
    <row r="133" spans="1:43" x14ac:dyDescent="0.25">
      <c r="A133">
        <v>132</v>
      </c>
      <c r="B133" t="s">
        <v>71</v>
      </c>
      <c r="C133" t="s">
        <v>72</v>
      </c>
      <c r="D133" t="s">
        <v>73</v>
      </c>
      <c r="E133" t="s">
        <v>74</v>
      </c>
      <c r="F133">
        <v>240423776</v>
      </c>
      <c r="G133">
        <v>6578724</v>
      </c>
      <c r="H133" t="s">
        <v>92</v>
      </c>
      <c r="I133" t="s">
        <v>76</v>
      </c>
      <c r="J133" t="s">
        <v>92</v>
      </c>
      <c r="K133" t="s">
        <v>428</v>
      </c>
      <c r="L133" t="s">
        <v>285</v>
      </c>
      <c r="M133" t="s">
        <v>285</v>
      </c>
      <c r="N133" t="s">
        <v>286</v>
      </c>
      <c r="O133" t="s">
        <v>10</v>
      </c>
      <c r="P133" t="s">
        <v>77</v>
      </c>
      <c r="Q133" t="s">
        <v>118</v>
      </c>
      <c r="R133" t="s">
        <v>119</v>
      </c>
      <c r="S133" t="s">
        <v>105</v>
      </c>
      <c r="T133">
        <v>41201</v>
      </c>
      <c r="U133" t="s">
        <v>85</v>
      </c>
      <c r="V133">
        <v>51201</v>
      </c>
      <c r="W133" t="s">
        <v>81</v>
      </c>
      <c r="X133">
        <v>240423776</v>
      </c>
      <c r="Y133" t="s">
        <v>74</v>
      </c>
      <c r="Z133">
        <v>1</v>
      </c>
      <c r="AA133" t="s">
        <v>152</v>
      </c>
      <c r="AB133">
        <v>183.31</v>
      </c>
      <c r="AC133">
        <v>183.31</v>
      </c>
      <c r="AD133">
        <v>1.76</v>
      </c>
      <c r="AE133">
        <v>322.63</v>
      </c>
      <c r="AF133">
        <v>322.63</v>
      </c>
      <c r="AG133">
        <v>138.84</v>
      </c>
      <c r="AH133">
        <v>138.84</v>
      </c>
      <c r="AI133">
        <v>183.79</v>
      </c>
      <c r="AJ133">
        <v>183.79</v>
      </c>
      <c r="AK133">
        <v>56.97</v>
      </c>
      <c r="AL133">
        <v>0</v>
      </c>
      <c r="AM133">
        <v>505.3</v>
      </c>
      <c r="AN133">
        <v>0</v>
      </c>
      <c r="AO133">
        <v>183.79</v>
      </c>
      <c r="AP133">
        <v>183.79</v>
      </c>
      <c r="AQ133">
        <v>56.966183999999998</v>
      </c>
    </row>
    <row r="134" spans="1:43" x14ac:dyDescent="0.25">
      <c r="A134">
        <v>133</v>
      </c>
      <c r="B134" t="s">
        <v>71</v>
      </c>
      <c r="C134" t="s">
        <v>72</v>
      </c>
      <c r="D134" t="s">
        <v>73</v>
      </c>
      <c r="E134" t="s">
        <v>74</v>
      </c>
      <c r="F134">
        <v>240424035</v>
      </c>
      <c r="G134">
        <v>6578984</v>
      </c>
      <c r="H134" t="s">
        <v>92</v>
      </c>
      <c r="I134" t="s">
        <v>76</v>
      </c>
      <c r="J134" t="s">
        <v>92</v>
      </c>
      <c r="K134" t="s">
        <v>429</v>
      </c>
      <c r="L134" t="s">
        <v>285</v>
      </c>
      <c r="M134" t="s">
        <v>285</v>
      </c>
      <c r="N134" t="s">
        <v>286</v>
      </c>
      <c r="O134" t="s">
        <v>132</v>
      </c>
      <c r="P134" t="s">
        <v>77</v>
      </c>
      <c r="Q134" t="s">
        <v>214</v>
      </c>
      <c r="R134" t="s">
        <v>215</v>
      </c>
      <c r="S134" t="s">
        <v>84</v>
      </c>
      <c r="T134">
        <v>41201</v>
      </c>
      <c r="U134" t="s">
        <v>85</v>
      </c>
      <c r="V134">
        <v>51201</v>
      </c>
      <c r="W134" t="s">
        <v>81</v>
      </c>
      <c r="X134">
        <v>240424035</v>
      </c>
      <c r="Y134" t="s">
        <v>74</v>
      </c>
      <c r="Z134">
        <v>1</v>
      </c>
      <c r="AA134" t="s">
        <v>123</v>
      </c>
      <c r="AB134">
        <v>648</v>
      </c>
      <c r="AC134">
        <v>0</v>
      </c>
      <c r="AD134">
        <v>0</v>
      </c>
      <c r="AE134">
        <v>648</v>
      </c>
      <c r="AF134">
        <v>648</v>
      </c>
      <c r="AG134">
        <v>359.27</v>
      </c>
      <c r="AH134">
        <v>359.27</v>
      </c>
      <c r="AI134">
        <v>288.73</v>
      </c>
      <c r="AJ134">
        <v>288.73</v>
      </c>
      <c r="AK134">
        <v>44.56</v>
      </c>
      <c r="AL134">
        <v>0</v>
      </c>
      <c r="AM134">
        <v>648</v>
      </c>
      <c r="AN134">
        <v>0</v>
      </c>
      <c r="AO134">
        <v>288.73</v>
      </c>
      <c r="AP134">
        <v>288.73</v>
      </c>
      <c r="AQ134">
        <v>44.557098000000003</v>
      </c>
    </row>
    <row r="135" spans="1:43" x14ac:dyDescent="0.25">
      <c r="A135">
        <v>134</v>
      </c>
      <c r="B135" t="s">
        <v>71</v>
      </c>
      <c r="C135" t="s">
        <v>72</v>
      </c>
      <c r="D135" t="s">
        <v>73</v>
      </c>
      <c r="E135" t="s">
        <v>74</v>
      </c>
      <c r="F135">
        <v>240424036</v>
      </c>
      <c r="G135">
        <v>6578985</v>
      </c>
      <c r="H135" t="s">
        <v>92</v>
      </c>
      <c r="I135" t="s">
        <v>76</v>
      </c>
      <c r="J135" t="s">
        <v>92</v>
      </c>
      <c r="K135" t="s">
        <v>430</v>
      </c>
      <c r="L135" t="s">
        <v>285</v>
      </c>
      <c r="M135" t="s">
        <v>285</v>
      </c>
      <c r="N135" t="s">
        <v>286</v>
      </c>
      <c r="O135" t="s">
        <v>132</v>
      </c>
      <c r="P135" t="s">
        <v>77</v>
      </c>
      <c r="Q135" t="s">
        <v>367</v>
      </c>
      <c r="R135" t="s">
        <v>368</v>
      </c>
      <c r="S135" t="s">
        <v>105</v>
      </c>
      <c r="T135">
        <v>41201</v>
      </c>
      <c r="U135" t="s">
        <v>85</v>
      </c>
      <c r="V135">
        <v>51201</v>
      </c>
      <c r="W135" t="s">
        <v>81</v>
      </c>
      <c r="X135">
        <v>240424036</v>
      </c>
      <c r="Y135" t="s">
        <v>74</v>
      </c>
      <c r="Z135">
        <v>1</v>
      </c>
      <c r="AA135" t="s">
        <v>123</v>
      </c>
      <c r="AB135">
        <v>89</v>
      </c>
      <c r="AC135">
        <v>0</v>
      </c>
      <c r="AD135">
        <v>0</v>
      </c>
      <c r="AE135">
        <v>89</v>
      </c>
      <c r="AF135">
        <v>89</v>
      </c>
      <c r="AG135">
        <v>31.03</v>
      </c>
      <c r="AH135">
        <v>31.03</v>
      </c>
      <c r="AI135">
        <v>57.97</v>
      </c>
      <c r="AJ135">
        <v>57.97</v>
      </c>
      <c r="AK135">
        <v>65.13</v>
      </c>
      <c r="AL135">
        <v>0</v>
      </c>
      <c r="AM135">
        <v>425</v>
      </c>
      <c r="AN135">
        <v>0</v>
      </c>
      <c r="AO135">
        <v>57.97</v>
      </c>
      <c r="AP135">
        <v>57.97</v>
      </c>
      <c r="AQ135">
        <v>65.134831000000005</v>
      </c>
    </row>
    <row r="136" spans="1:43" x14ac:dyDescent="0.25">
      <c r="A136">
        <v>135</v>
      </c>
      <c r="B136" t="s">
        <v>71</v>
      </c>
      <c r="C136" t="s">
        <v>72</v>
      </c>
      <c r="D136" t="s">
        <v>73</v>
      </c>
      <c r="E136" t="s">
        <v>74</v>
      </c>
      <c r="F136">
        <v>240424036</v>
      </c>
      <c r="G136">
        <v>6578985</v>
      </c>
      <c r="H136" t="s">
        <v>92</v>
      </c>
      <c r="I136" t="s">
        <v>76</v>
      </c>
      <c r="J136" t="s">
        <v>92</v>
      </c>
      <c r="K136" t="s">
        <v>430</v>
      </c>
      <c r="L136" t="s">
        <v>285</v>
      </c>
      <c r="M136" t="s">
        <v>285</v>
      </c>
      <c r="N136" t="s">
        <v>286</v>
      </c>
      <c r="O136" t="s">
        <v>132</v>
      </c>
      <c r="P136" t="s">
        <v>77</v>
      </c>
      <c r="Q136" t="s">
        <v>153</v>
      </c>
      <c r="R136" t="s">
        <v>154</v>
      </c>
      <c r="S136" t="s">
        <v>105</v>
      </c>
      <c r="T136">
        <v>41201</v>
      </c>
      <c r="U136" t="s">
        <v>85</v>
      </c>
      <c r="V136">
        <v>51201</v>
      </c>
      <c r="W136" t="s">
        <v>81</v>
      </c>
      <c r="X136">
        <v>240424036</v>
      </c>
      <c r="Y136" t="s">
        <v>74</v>
      </c>
      <c r="Z136">
        <v>2</v>
      </c>
      <c r="AA136" t="s">
        <v>123</v>
      </c>
      <c r="AB136">
        <v>168</v>
      </c>
      <c r="AC136">
        <v>0</v>
      </c>
      <c r="AD136">
        <v>0</v>
      </c>
      <c r="AE136">
        <v>168</v>
      </c>
      <c r="AF136">
        <v>336</v>
      </c>
      <c r="AG136">
        <v>95.76</v>
      </c>
      <c r="AH136">
        <v>191.52</v>
      </c>
      <c r="AI136">
        <v>72.239999999999995</v>
      </c>
      <c r="AJ136">
        <v>144.47999999999999</v>
      </c>
      <c r="AK136">
        <v>43</v>
      </c>
      <c r="AL136">
        <v>0</v>
      </c>
      <c r="AM136">
        <v>425</v>
      </c>
      <c r="AN136">
        <v>0</v>
      </c>
      <c r="AO136">
        <v>72.239999999999995</v>
      </c>
      <c r="AP136">
        <v>144.47999999999999</v>
      </c>
      <c r="AQ136">
        <v>43</v>
      </c>
    </row>
    <row r="137" spans="1:43" x14ac:dyDescent="0.25">
      <c r="A137">
        <v>136</v>
      </c>
      <c r="B137" t="s">
        <v>71</v>
      </c>
      <c r="C137" t="s">
        <v>72</v>
      </c>
      <c r="D137" t="s">
        <v>73</v>
      </c>
      <c r="E137" t="s">
        <v>74</v>
      </c>
      <c r="F137">
        <v>240424336</v>
      </c>
      <c r="G137">
        <v>6579295</v>
      </c>
      <c r="H137" t="s">
        <v>203</v>
      </c>
      <c r="I137" t="s">
        <v>76</v>
      </c>
      <c r="J137" t="s">
        <v>203</v>
      </c>
      <c r="K137" t="s">
        <v>431</v>
      </c>
      <c r="L137" t="s">
        <v>285</v>
      </c>
      <c r="M137" t="s">
        <v>285</v>
      </c>
      <c r="N137" t="s">
        <v>286</v>
      </c>
      <c r="O137" t="s">
        <v>130</v>
      </c>
      <c r="P137" t="s">
        <v>77</v>
      </c>
      <c r="Q137" t="s">
        <v>78</v>
      </c>
      <c r="R137" t="s">
        <v>143</v>
      </c>
      <c r="S137" t="s">
        <v>79</v>
      </c>
      <c r="T137">
        <v>43201</v>
      </c>
      <c r="U137" t="s">
        <v>129</v>
      </c>
      <c r="V137">
        <v>51201</v>
      </c>
      <c r="W137" t="s">
        <v>81</v>
      </c>
      <c r="X137">
        <v>240424336</v>
      </c>
      <c r="Y137" t="s">
        <v>74</v>
      </c>
      <c r="Z137">
        <v>0</v>
      </c>
      <c r="AA137" t="s">
        <v>147</v>
      </c>
      <c r="AB137">
        <v>9.18</v>
      </c>
      <c r="AC137">
        <v>-9.18</v>
      </c>
      <c r="AD137">
        <v>5.83</v>
      </c>
      <c r="AE137">
        <v>53.52</v>
      </c>
      <c r="AF137">
        <v>-53.52</v>
      </c>
      <c r="AG137">
        <v>0</v>
      </c>
      <c r="AH137">
        <v>0</v>
      </c>
      <c r="AI137">
        <v>53.52</v>
      </c>
      <c r="AJ137">
        <v>-53.52</v>
      </c>
      <c r="AK137">
        <v>0</v>
      </c>
      <c r="AL137">
        <v>-53.52</v>
      </c>
      <c r="AM137">
        <v>297.33</v>
      </c>
      <c r="AN137">
        <v>0</v>
      </c>
      <c r="AO137">
        <v>0</v>
      </c>
      <c r="AP137">
        <v>0</v>
      </c>
      <c r="AQ137">
        <v>0</v>
      </c>
    </row>
    <row r="138" spans="1:43" x14ac:dyDescent="0.25">
      <c r="A138">
        <v>137</v>
      </c>
      <c r="B138" t="s">
        <v>71</v>
      </c>
      <c r="C138" t="s">
        <v>72</v>
      </c>
      <c r="D138" t="s">
        <v>73</v>
      </c>
      <c r="E138" t="s">
        <v>74</v>
      </c>
      <c r="F138">
        <v>240424336</v>
      </c>
      <c r="G138">
        <v>6579295</v>
      </c>
      <c r="H138" t="s">
        <v>203</v>
      </c>
      <c r="I138" t="s">
        <v>76</v>
      </c>
      <c r="J138" t="s">
        <v>203</v>
      </c>
      <c r="K138" t="s">
        <v>431</v>
      </c>
      <c r="L138" t="s">
        <v>285</v>
      </c>
      <c r="M138" t="s">
        <v>285</v>
      </c>
      <c r="N138" t="s">
        <v>286</v>
      </c>
      <c r="O138" t="s">
        <v>130</v>
      </c>
      <c r="P138" t="s">
        <v>77</v>
      </c>
      <c r="Q138" t="s">
        <v>115</v>
      </c>
      <c r="R138" t="s">
        <v>116</v>
      </c>
      <c r="S138" t="s">
        <v>105</v>
      </c>
      <c r="T138">
        <v>41201</v>
      </c>
      <c r="U138" t="s">
        <v>85</v>
      </c>
      <c r="V138">
        <v>51201</v>
      </c>
      <c r="W138" t="s">
        <v>81</v>
      </c>
      <c r="X138">
        <v>240424336</v>
      </c>
      <c r="Y138" t="s">
        <v>74</v>
      </c>
      <c r="Z138">
        <v>1</v>
      </c>
      <c r="AA138" t="s">
        <v>147</v>
      </c>
      <c r="AB138">
        <v>51</v>
      </c>
      <c r="AC138">
        <v>51</v>
      </c>
      <c r="AD138">
        <v>5.83</v>
      </c>
      <c r="AE138">
        <v>297.33</v>
      </c>
      <c r="AF138">
        <v>297.33</v>
      </c>
      <c r="AG138">
        <v>81.7</v>
      </c>
      <c r="AH138">
        <v>81.7</v>
      </c>
      <c r="AI138">
        <v>215.63</v>
      </c>
      <c r="AJ138">
        <v>215.63</v>
      </c>
      <c r="AK138">
        <v>72.52</v>
      </c>
      <c r="AL138">
        <v>-53.52</v>
      </c>
      <c r="AM138">
        <v>297.33</v>
      </c>
      <c r="AN138">
        <v>-53.52</v>
      </c>
      <c r="AO138">
        <v>162.11000000000001</v>
      </c>
      <c r="AP138">
        <v>162.11000000000001</v>
      </c>
      <c r="AQ138">
        <v>66.490298999999993</v>
      </c>
    </row>
    <row r="139" spans="1:43" x14ac:dyDescent="0.25">
      <c r="A139">
        <v>138</v>
      </c>
      <c r="B139" t="s">
        <v>71</v>
      </c>
      <c r="C139" t="s">
        <v>72</v>
      </c>
      <c r="D139" t="s">
        <v>73</v>
      </c>
      <c r="E139" t="s">
        <v>74</v>
      </c>
      <c r="F139">
        <v>240424500</v>
      </c>
      <c r="G139">
        <v>6579459</v>
      </c>
      <c r="H139" t="s">
        <v>203</v>
      </c>
      <c r="I139" t="s">
        <v>76</v>
      </c>
      <c r="J139" t="s">
        <v>203</v>
      </c>
      <c r="K139" t="s">
        <v>432</v>
      </c>
      <c r="L139" t="s">
        <v>285</v>
      </c>
      <c r="M139" t="s">
        <v>285</v>
      </c>
      <c r="N139" t="s">
        <v>286</v>
      </c>
      <c r="O139" t="s">
        <v>10</v>
      </c>
      <c r="P139" t="s">
        <v>77</v>
      </c>
      <c r="Q139" t="s">
        <v>82</v>
      </c>
      <c r="R139" t="s">
        <v>112</v>
      </c>
      <c r="S139" t="s">
        <v>84</v>
      </c>
      <c r="T139">
        <v>41201</v>
      </c>
      <c r="U139" t="s">
        <v>85</v>
      </c>
      <c r="V139">
        <v>51201</v>
      </c>
      <c r="W139" t="s">
        <v>81</v>
      </c>
      <c r="X139">
        <v>240424500</v>
      </c>
      <c r="Y139" t="s">
        <v>74</v>
      </c>
      <c r="Z139">
        <v>6</v>
      </c>
      <c r="AA139" t="s">
        <v>152</v>
      </c>
      <c r="AB139">
        <v>29.92</v>
      </c>
      <c r="AC139">
        <v>179.52</v>
      </c>
      <c r="AD139">
        <v>1.76</v>
      </c>
      <c r="AE139">
        <v>52.66</v>
      </c>
      <c r="AF139">
        <v>315.95999999999998</v>
      </c>
      <c r="AG139">
        <v>18</v>
      </c>
      <c r="AH139">
        <v>108</v>
      </c>
      <c r="AI139">
        <v>34.659999999999997</v>
      </c>
      <c r="AJ139">
        <v>207.96</v>
      </c>
      <c r="AK139">
        <v>65.819999999999993</v>
      </c>
      <c r="AL139">
        <v>0</v>
      </c>
      <c r="AM139">
        <v>315.95999999999998</v>
      </c>
      <c r="AN139">
        <v>0</v>
      </c>
      <c r="AO139">
        <v>34.659999999999997</v>
      </c>
      <c r="AP139">
        <v>207.96</v>
      </c>
      <c r="AQ139">
        <v>65.818458000000007</v>
      </c>
    </row>
    <row r="140" spans="1:43" x14ac:dyDescent="0.25">
      <c r="A140">
        <v>139</v>
      </c>
      <c r="B140" t="s">
        <v>71</v>
      </c>
      <c r="C140" t="s">
        <v>72</v>
      </c>
      <c r="D140" t="s">
        <v>73</v>
      </c>
      <c r="E140" t="s">
        <v>74</v>
      </c>
      <c r="F140">
        <v>240424623</v>
      </c>
      <c r="G140">
        <v>6579582</v>
      </c>
      <c r="H140" t="s">
        <v>203</v>
      </c>
      <c r="I140" t="s">
        <v>76</v>
      </c>
      <c r="J140" t="s">
        <v>203</v>
      </c>
      <c r="K140" t="s">
        <v>433</v>
      </c>
      <c r="L140" t="s">
        <v>285</v>
      </c>
      <c r="M140" t="s">
        <v>285</v>
      </c>
      <c r="N140" t="s">
        <v>286</v>
      </c>
      <c r="O140" t="s">
        <v>130</v>
      </c>
      <c r="P140" t="s">
        <v>77</v>
      </c>
      <c r="Q140" t="s">
        <v>78</v>
      </c>
      <c r="R140" t="s">
        <v>143</v>
      </c>
      <c r="S140" t="s">
        <v>79</v>
      </c>
      <c r="T140">
        <v>43201</v>
      </c>
      <c r="U140" t="s">
        <v>129</v>
      </c>
      <c r="V140">
        <v>51201</v>
      </c>
      <c r="W140" t="s">
        <v>81</v>
      </c>
      <c r="X140">
        <v>240424623</v>
      </c>
      <c r="Y140" t="s">
        <v>74</v>
      </c>
      <c r="Z140">
        <v>0</v>
      </c>
      <c r="AA140" t="s">
        <v>147</v>
      </c>
      <c r="AB140">
        <v>20.7</v>
      </c>
      <c r="AC140">
        <v>-20.7</v>
      </c>
      <c r="AD140">
        <v>5.83</v>
      </c>
      <c r="AE140">
        <v>120.68</v>
      </c>
      <c r="AF140">
        <v>-120.68</v>
      </c>
      <c r="AG140">
        <v>0</v>
      </c>
      <c r="AH140">
        <v>0</v>
      </c>
      <c r="AI140">
        <v>120.68</v>
      </c>
      <c r="AJ140">
        <v>-120.68</v>
      </c>
      <c r="AK140">
        <v>0</v>
      </c>
      <c r="AL140">
        <v>-120.68</v>
      </c>
      <c r="AM140">
        <v>536.36</v>
      </c>
      <c r="AN140">
        <v>0</v>
      </c>
      <c r="AO140">
        <v>0</v>
      </c>
      <c r="AP140">
        <v>0</v>
      </c>
      <c r="AQ140">
        <v>0</v>
      </c>
    </row>
    <row r="141" spans="1:43" x14ac:dyDescent="0.25">
      <c r="A141">
        <v>140</v>
      </c>
      <c r="B141" t="s">
        <v>71</v>
      </c>
      <c r="C141" t="s">
        <v>72</v>
      </c>
      <c r="D141" t="s">
        <v>73</v>
      </c>
      <c r="E141" t="s">
        <v>74</v>
      </c>
      <c r="F141">
        <v>240424623</v>
      </c>
      <c r="G141">
        <v>6579582</v>
      </c>
      <c r="H141" t="s">
        <v>203</v>
      </c>
      <c r="I141" t="s">
        <v>76</v>
      </c>
      <c r="J141" t="s">
        <v>203</v>
      </c>
      <c r="K141" t="s">
        <v>433</v>
      </c>
      <c r="L141" t="s">
        <v>285</v>
      </c>
      <c r="M141" t="s">
        <v>285</v>
      </c>
      <c r="N141" t="s">
        <v>286</v>
      </c>
      <c r="O141" t="s">
        <v>130</v>
      </c>
      <c r="P141" t="s">
        <v>77</v>
      </c>
      <c r="Q141" t="s">
        <v>198</v>
      </c>
      <c r="R141" t="s">
        <v>199</v>
      </c>
      <c r="S141" t="s">
        <v>84</v>
      </c>
      <c r="T141">
        <v>41201</v>
      </c>
      <c r="U141" t="s">
        <v>85</v>
      </c>
      <c r="V141">
        <v>51201</v>
      </c>
      <c r="W141" t="s">
        <v>81</v>
      </c>
      <c r="X141">
        <v>240424623</v>
      </c>
      <c r="Y141" t="s">
        <v>74</v>
      </c>
      <c r="Z141">
        <v>10</v>
      </c>
      <c r="AA141" t="s">
        <v>147</v>
      </c>
      <c r="AB141">
        <v>9.1999999999999993</v>
      </c>
      <c r="AC141">
        <v>92</v>
      </c>
      <c r="AD141">
        <v>5.83</v>
      </c>
      <c r="AE141">
        <v>53.636000000000003</v>
      </c>
      <c r="AF141">
        <v>536.36</v>
      </c>
      <c r="AG141">
        <v>16</v>
      </c>
      <c r="AH141">
        <v>160</v>
      </c>
      <c r="AI141">
        <v>37.64</v>
      </c>
      <c r="AJ141">
        <v>376.36</v>
      </c>
      <c r="AK141">
        <v>70.17</v>
      </c>
      <c r="AL141">
        <v>-120.68</v>
      </c>
      <c r="AM141">
        <v>536.36</v>
      </c>
      <c r="AN141">
        <v>-120.68</v>
      </c>
      <c r="AO141">
        <v>25.568000000000001</v>
      </c>
      <c r="AP141">
        <v>255.68</v>
      </c>
      <c r="AQ141">
        <v>61.508851999999997</v>
      </c>
    </row>
    <row r="142" spans="1:43" x14ac:dyDescent="0.25">
      <c r="A142">
        <v>141</v>
      </c>
      <c r="B142" t="s">
        <v>71</v>
      </c>
      <c r="C142" t="s">
        <v>72</v>
      </c>
      <c r="D142" t="s">
        <v>73</v>
      </c>
      <c r="E142" t="s">
        <v>74</v>
      </c>
      <c r="F142">
        <v>240424788</v>
      </c>
      <c r="G142">
        <v>6579747</v>
      </c>
      <c r="H142" t="s">
        <v>203</v>
      </c>
      <c r="I142" t="s">
        <v>76</v>
      </c>
      <c r="J142" t="s">
        <v>203</v>
      </c>
      <c r="K142" t="s">
        <v>434</v>
      </c>
      <c r="L142" t="s">
        <v>285</v>
      </c>
      <c r="M142" t="s">
        <v>285</v>
      </c>
      <c r="N142" t="s">
        <v>286</v>
      </c>
      <c r="O142" t="s">
        <v>10</v>
      </c>
      <c r="P142" t="s">
        <v>77</v>
      </c>
      <c r="Q142" t="s">
        <v>212</v>
      </c>
      <c r="R142" t="s">
        <v>213</v>
      </c>
      <c r="S142" t="s">
        <v>105</v>
      </c>
      <c r="T142">
        <v>41201</v>
      </c>
      <c r="U142" t="s">
        <v>85</v>
      </c>
      <c r="V142">
        <v>51201</v>
      </c>
      <c r="W142" t="s">
        <v>81</v>
      </c>
      <c r="X142">
        <v>240424788</v>
      </c>
      <c r="Y142" t="s">
        <v>74</v>
      </c>
      <c r="Z142">
        <v>2</v>
      </c>
      <c r="AA142" t="s">
        <v>152</v>
      </c>
      <c r="AB142">
        <v>146.05000000000001</v>
      </c>
      <c r="AC142">
        <v>292.10000000000002</v>
      </c>
      <c r="AD142">
        <v>1.76</v>
      </c>
      <c r="AE142">
        <v>257.05</v>
      </c>
      <c r="AF142">
        <v>514.1</v>
      </c>
      <c r="AG142">
        <v>128</v>
      </c>
      <c r="AH142">
        <v>256</v>
      </c>
      <c r="AI142">
        <v>129.05000000000001</v>
      </c>
      <c r="AJ142">
        <v>258.10000000000002</v>
      </c>
      <c r="AK142">
        <v>50.2</v>
      </c>
      <c r="AL142">
        <v>-92.54</v>
      </c>
      <c r="AM142">
        <v>514.1</v>
      </c>
      <c r="AN142">
        <v>-92.54</v>
      </c>
      <c r="AO142">
        <v>82.78</v>
      </c>
      <c r="AP142">
        <v>165.56</v>
      </c>
      <c r="AQ142">
        <v>39.273175000000002</v>
      </c>
    </row>
    <row r="143" spans="1:43" x14ac:dyDescent="0.25">
      <c r="A143">
        <v>142</v>
      </c>
      <c r="B143" t="s">
        <v>71</v>
      </c>
      <c r="C143" t="s">
        <v>72</v>
      </c>
      <c r="D143" t="s">
        <v>73</v>
      </c>
      <c r="E143" t="s">
        <v>74</v>
      </c>
      <c r="F143">
        <v>240424788</v>
      </c>
      <c r="G143">
        <v>6579747</v>
      </c>
      <c r="H143" t="s">
        <v>203</v>
      </c>
      <c r="I143" t="s">
        <v>76</v>
      </c>
      <c r="J143" t="s">
        <v>203</v>
      </c>
      <c r="K143" t="s">
        <v>434</v>
      </c>
      <c r="L143" t="s">
        <v>285</v>
      </c>
      <c r="M143" t="s">
        <v>285</v>
      </c>
      <c r="N143" t="s">
        <v>286</v>
      </c>
      <c r="O143" t="s">
        <v>10</v>
      </c>
      <c r="P143" t="s">
        <v>77</v>
      </c>
      <c r="Q143" t="s">
        <v>78</v>
      </c>
      <c r="R143" t="s">
        <v>143</v>
      </c>
      <c r="S143" t="s">
        <v>79</v>
      </c>
      <c r="T143">
        <v>43201</v>
      </c>
      <c r="U143" t="s">
        <v>129</v>
      </c>
      <c r="V143">
        <v>51201</v>
      </c>
      <c r="W143" t="s">
        <v>81</v>
      </c>
      <c r="X143">
        <v>240424788</v>
      </c>
      <c r="Y143" t="s">
        <v>74</v>
      </c>
      <c r="Z143">
        <v>0</v>
      </c>
      <c r="AA143" t="s">
        <v>152</v>
      </c>
      <c r="AB143">
        <v>52.58</v>
      </c>
      <c r="AC143">
        <v>-52.58</v>
      </c>
      <c r="AD143">
        <v>1.76</v>
      </c>
      <c r="AE143">
        <v>92.54</v>
      </c>
      <c r="AF143">
        <v>-92.54</v>
      </c>
      <c r="AG143">
        <v>0</v>
      </c>
      <c r="AH143">
        <v>0</v>
      </c>
      <c r="AI143">
        <v>92.54</v>
      </c>
      <c r="AJ143">
        <v>-92.54</v>
      </c>
      <c r="AK143">
        <v>0</v>
      </c>
      <c r="AL143">
        <v>-92.54</v>
      </c>
      <c r="AM143">
        <v>514.1</v>
      </c>
      <c r="AN143">
        <v>0</v>
      </c>
      <c r="AO143">
        <v>0</v>
      </c>
      <c r="AP143">
        <v>0</v>
      </c>
      <c r="AQ143">
        <v>0</v>
      </c>
    </row>
    <row r="144" spans="1:43" x14ac:dyDescent="0.25">
      <c r="A144">
        <v>143</v>
      </c>
      <c r="B144" t="s">
        <v>71</v>
      </c>
      <c r="C144" t="s">
        <v>72</v>
      </c>
      <c r="D144" t="s">
        <v>73</v>
      </c>
      <c r="E144" t="s">
        <v>74</v>
      </c>
      <c r="F144">
        <v>240424862</v>
      </c>
      <c r="G144">
        <v>6579821</v>
      </c>
      <c r="H144" t="s">
        <v>203</v>
      </c>
      <c r="I144" t="s">
        <v>76</v>
      </c>
      <c r="J144" t="s">
        <v>203</v>
      </c>
      <c r="K144" t="s">
        <v>435</v>
      </c>
      <c r="L144" t="s">
        <v>285</v>
      </c>
      <c r="M144" t="s">
        <v>285</v>
      </c>
      <c r="N144" t="s">
        <v>286</v>
      </c>
      <c r="O144" t="s">
        <v>10</v>
      </c>
      <c r="P144" t="s">
        <v>77</v>
      </c>
      <c r="Q144" t="s">
        <v>224</v>
      </c>
      <c r="R144" t="s">
        <v>225</v>
      </c>
      <c r="S144" t="s">
        <v>84</v>
      </c>
      <c r="T144">
        <v>41201</v>
      </c>
      <c r="U144" t="s">
        <v>85</v>
      </c>
      <c r="V144">
        <v>51201</v>
      </c>
      <c r="W144" t="s">
        <v>81</v>
      </c>
      <c r="X144">
        <v>240424862</v>
      </c>
      <c r="Y144" t="s">
        <v>74</v>
      </c>
      <c r="Z144">
        <v>1</v>
      </c>
      <c r="AA144" t="s">
        <v>152</v>
      </c>
      <c r="AB144">
        <v>297</v>
      </c>
      <c r="AC144">
        <v>297</v>
      </c>
      <c r="AD144">
        <v>1.76</v>
      </c>
      <c r="AE144">
        <v>522.72</v>
      </c>
      <c r="AF144">
        <v>522.72</v>
      </c>
      <c r="AG144">
        <v>240</v>
      </c>
      <c r="AH144">
        <v>240</v>
      </c>
      <c r="AI144">
        <v>282.72000000000003</v>
      </c>
      <c r="AJ144">
        <v>282.72000000000003</v>
      </c>
      <c r="AK144">
        <v>54.09</v>
      </c>
      <c r="AL144">
        <v>-94.09</v>
      </c>
      <c r="AM144">
        <v>522.72</v>
      </c>
      <c r="AN144">
        <v>-94.09</v>
      </c>
      <c r="AO144">
        <v>188.63</v>
      </c>
      <c r="AP144">
        <v>188.63</v>
      </c>
      <c r="AQ144">
        <v>44.007652</v>
      </c>
    </row>
    <row r="145" spans="1:43" x14ac:dyDescent="0.25">
      <c r="A145">
        <v>144</v>
      </c>
      <c r="B145" t="s">
        <v>71</v>
      </c>
      <c r="C145" t="s">
        <v>72</v>
      </c>
      <c r="D145" t="s">
        <v>73</v>
      </c>
      <c r="E145" t="s">
        <v>74</v>
      </c>
      <c r="F145">
        <v>240424862</v>
      </c>
      <c r="G145">
        <v>6579821</v>
      </c>
      <c r="H145" t="s">
        <v>203</v>
      </c>
      <c r="I145" t="s">
        <v>76</v>
      </c>
      <c r="J145" t="s">
        <v>203</v>
      </c>
      <c r="K145" t="s">
        <v>435</v>
      </c>
      <c r="L145" t="s">
        <v>285</v>
      </c>
      <c r="M145" t="s">
        <v>285</v>
      </c>
      <c r="N145" t="s">
        <v>286</v>
      </c>
      <c r="O145" t="s">
        <v>10</v>
      </c>
      <c r="P145" t="s">
        <v>77</v>
      </c>
      <c r="Q145" t="s">
        <v>78</v>
      </c>
      <c r="R145" t="s">
        <v>143</v>
      </c>
      <c r="S145" t="s">
        <v>79</v>
      </c>
      <c r="T145">
        <v>43201</v>
      </c>
      <c r="U145" t="s">
        <v>129</v>
      </c>
      <c r="V145">
        <v>51201</v>
      </c>
      <c r="W145" t="s">
        <v>81</v>
      </c>
      <c r="X145">
        <v>240424862</v>
      </c>
      <c r="Y145" t="s">
        <v>74</v>
      </c>
      <c r="Z145">
        <v>0</v>
      </c>
      <c r="AA145" t="s">
        <v>152</v>
      </c>
      <c r="AB145">
        <v>53.46</v>
      </c>
      <c r="AC145">
        <v>-53.46</v>
      </c>
      <c r="AD145">
        <v>1.76</v>
      </c>
      <c r="AE145">
        <v>94.09</v>
      </c>
      <c r="AF145">
        <v>-94.09</v>
      </c>
      <c r="AG145">
        <v>0</v>
      </c>
      <c r="AH145">
        <v>0</v>
      </c>
      <c r="AI145">
        <v>94.09</v>
      </c>
      <c r="AJ145">
        <v>-94.09</v>
      </c>
      <c r="AK145">
        <v>0</v>
      </c>
      <c r="AL145">
        <v>-94.09</v>
      </c>
      <c r="AM145">
        <v>522.72</v>
      </c>
      <c r="AN145">
        <v>0</v>
      </c>
      <c r="AO145">
        <v>0</v>
      </c>
      <c r="AP145">
        <v>0</v>
      </c>
      <c r="AQ145">
        <v>0</v>
      </c>
    </row>
    <row r="146" spans="1:43" x14ac:dyDescent="0.25">
      <c r="A146">
        <v>145</v>
      </c>
      <c r="B146" t="s">
        <v>71</v>
      </c>
      <c r="C146" t="s">
        <v>72</v>
      </c>
      <c r="D146" t="s">
        <v>73</v>
      </c>
      <c r="E146" t="s">
        <v>74</v>
      </c>
      <c r="F146">
        <v>240424878</v>
      </c>
      <c r="G146">
        <v>6579837</v>
      </c>
      <c r="H146" t="s">
        <v>203</v>
      </c>
      <c r="I146" t="s">
        <v>76</v>
      </c>
      <c r="J146" t="s">
        <v>203</v>
      </c>
      <c r="K146" t="s">
        <v>436</v>
      </c>
      <c r="L146" t="s">
        <v>285</v>
      </c>
      <c r="M146" t="s">
        <v>285</v>
      </c>
      <c r="N146" t="s">
        <v>286</v>
      </c>
      <c r="O146" t="s">
        <v>10</v>
      </c>
      <c r="P146" t="s">
        <v>77</v>
      </c>
      <c r="Q146" t="s">
        <v>78</v>
      </c>
      <c r="R146" t="s">
        <v>143</v>
      </c>
      <c r="S146" t="s">
        <v>79</v>
      </c>
      <c r="T146">
        <v>43201</v>
      </c>
      <c r="U146" t="s">
        <v>129</v>
      </c>
      <c r="V146">
        <v>51201</v>
      </c>
      <c r="W146" t="s">
        <v>81</v>
      </c>
      <c r="X146">
        <v>240424878</v>
      </c>
      <c r="Y146" t="s">
        <v>74</v>
      </c>
      <c r="Z146">
        <v>0</v>
      </c>
      <c r="AA146" t="s">
        <v>152</v>
      </c>
      <c r="AB146">
        <v>65.05</v>
      </c>
      <c r="AC146">
        <v>-65.05</v>
      </c>
      <c r="AD146">
        <v>1.76</v>
      </c>
      <c r="AE146">
        <v>114.49</v>
      </c>
      <c r="AF146">
        <v>-114.49</v>
      </c>
      <c r="AG146">
        <v>0</v>
      </c>
      <c r="AH146">
        <v>0</v>
      </c>
      <c r="AI146">
        <v>114.49</v>
      </c>
      <c r="AJ146">
        <v>-114.49</v>
      </c>
      <c r="AK146">
        <v>0</v>
      </c>
      <c r="AL146">
        <v>-114.49</v>
      </c>
      <c r="AM146">
        <v>636.05999999999995</v>
      </c>
      <c r="AN146">
        <v>0</v>
      </c>
      <c r="AO146">
        <v>0</v>
      </c>
      <c r="AP146">
        <v>0</v>
      </c>
      <c r="AQ146">
        <v>0</v>
      </c>
    </row>
    <row r="147" spans="1:43" x14ac:dyDescent="0.25">
      <c r="A147">
        <v>146</v>
      </c>
      <c r="B147" t="s">
        <v>71</v>
      </c>
      <c r="C147" t="s">
        <v>72</v>
      </c>
      <c r="D147" t="s">
        <v>73</v>
      </c>
      <c r="E147" t="s">
        <v>74</v>
      </c>
      <c r="F147">
        <v>240424878</v>
      </c>
      <c r="G147">
        <v>6579837</v>
      </c>
      <c r="H147" t="s">
        <v>203</v>
      </c>
      <c r="I147" t="s">
        <v>76</v>
      </c>
      <c r="J147" t="s">
        <v>203</v>
      </c>
      <c r="K147" t="s">
        <v>436</v>
      </c>
      <c r="L147" t="s">
        <v>285</v>
      </c>
      <c r="M147" t="s">
        <v>285</v>
      </c>
      <c r="N147" t="s">
        <v>286</v>
      </c>
      <c r="O147" t="s">
        <v>10</v>
      </c>
      <c r="P147" t="s">
        <v>77</v>
      </c>
      <c r="Q147" t="s">
        <v>187</v>
      </c>
      <c r="R147" t="s">
        <v>188</v>
      </c>
      <c r="S147" t="s">
        <v>105</v>
      </c>
      <c r="T147">
        <v>41201</v>
      </c>
      <c r="U147" t="s">
        <v>85</v>
      </c>
      <c r="V147">
        <v>51201</v>
      </c>
      <c r="W147" t="s">
        <v>81</v>
      </c>
      <c r="X147">
        <v>240424878</v>
      </c>
      <c r="Y147" t="s">
        <v>74</v>
      </c>
      <c r="Z147">
        <v>2</v>
      </c>
      <c r="AA147" t="s">
        <v>152</v>
      </c>
      <c r="AB147">
        <v>180.7</v>
      </c>
      <c r="AC147">
        <v>361.4</v>
      </c>
      <c r="AD147">
        <v>1.76</v>
      </c>
      <c r="AE147">
        <v>318.02999999999997</v>
      </c>
      <c r="AF147">
        <v>636.05999999999995</v>
      </c>
      <c r="AG147">
        <v>144.74</v>
      </c>
      <c r="AH147">
        <v>289.47000000000003</v>
      </c>
      <c r="AI147">
        <v>173.3</v>
      </c>
      <c r="AJ147">
        <v>346.59</v>
      </c>
      <c r="AK147">
        <v>54.49</v>
      </c>
      <c r="AL147">
        <v>-114.49</v>
      </c>
      <c r="AM147">
        <v>636.05999999999995</v>
      </c>
      <c r="AN147">
        <v>-114.49</v>
      </c>
      <c r="AO147">
        <v>116.05</v>
      </c>
      <c r="AP147">
        <v>232.1</v>
      </c>
      <c r="AQ147">
        <v>44.500258000000002</v>
      </c>
    </row>
    <row r="148" spans="1:43" x14ac:dyDescent="0.25">
      <c r="A148">
        <v>147</v>
      </c>
      <c r="B148" t="s">
        <v>71</v>
      </c>
      <c r="C148" t="s">
        <v>72</v>
      </c>
      <c r="D148" t="s">
        <v>73</v>
      </c>
      <c r="E148" t="s">
        <v>74</v>
      </c>
      <c r="F148">
        <v>240425620</v>
      </c>
      <c r="G148">
        <v>6580592</v>
      </c>
      <c r="H148" t="s">
        <v>97</v>
      </c>
      <c r="I148" t="s">
        <v>76</v>
      </c>
      <c r="J148" t="s">
        <v>97</v>
      </c>
      <c r="K148" t="s">
        <v>437</v>
      </c>
      <c r="L148" t="s">
        <v>285</v>
      </c>
      <c r="M148" t="s">
        <v>285</v>
      </c>
      <c r="N148" t="s">
        <v>286</v>
      </c>
      <c r="O148" t="s">
        <v>132</v>
      </c>
      <c r="P148" t="s">
        <v>77</v>
      </c>
      <c r="Q148" t="s">
        <v>78</v>
      </c>
      <c r="R148" t="s">
        <v>143</v>
      </c>
      <c r="S148" t="s">
        <v>79</v>
      </c>
      <c r="T148">
        <v>43201</v>
      </c>
      <c r="U148" t="s">
        <v>129</v>
      </c>
      <c r="V148">
        <v>51201</v>
      </c>
      <c r="W148" t="s">
        <v>81</v>
      </c>
      <c r="X148">
        <v>240425620</v>
      </c>
      <c r="Y148" t="s">
        <v>74</v>
      </c>
      <c r="Z148">
        <v>0</v>
      </c>
      <c r="AA148" t="s">
        <v>123</v>
      </c>
      <c r="AB148">
        <v>131.4</v>
      </c>
      <c r="AC148">
        <v>0</v>
      </c>
      <c r="AD148">
        <v>0</v>
      </c>
      <c r="AE148">
        <v>131.4</v>
      </c>
      <c r="AF148">
        <v>-131.4</v>
      </c>
      <c r="AG148">
        <v>0</v>
      </c>
      <c r="AH148">
        <v>0</v>
      </c>
      <c r="AI148">
        <v>131.4</v>
      </c>
      <c r="AJ148">
        <v>-131.4</v>
      </c>
      <c r="AK148">
        <v>0</v>
      </c>
      <c r="AL148">
        <v>-131.4</v>
      </c>
      <c r="AM148">
        <v>730</v>
      </c>
      <c r="AN148">
        <v>0</v>
      </c>
      <c r="AO148">
        <v>0</v>
      </c>
      <c r="AP148">
        <v>0</v>
      </c>
      <c r="AQ148">
        <v>0</v>
      </c>
    </row>
    <row r="149" spans="1:43" x14ac:dyDescent="0.25">
      <c r="A149">
        <v>148</v>
      </c>
      <c r="B149" t="s">
        <v>71</v>
      </c>
      <c r="C149" t="s">
        <v>72</v>
      </c>
      <c r="D149" t="s">
        <v>73</v>
      </c>
      <c r="E149" t="s">
        <v>74</v>
      </c>
      <c r="F149">
        <v>240425620</v>
      </c>
      <c r="G149">
        <v>6580592</v>
      </c>
      <c r="H149" t="s">
        <v>97</v>
      </c>
      <c r="I149" t="s">
        <v>76</v>
      </c>
      <c r="J149" t="s">
        <v>97</v>
      </c>
      <c r="K149" t="s">
        <v>437</v>
      </c>
      <c r="L149" t="s">
        <v>285</v>
      </c>
      <c r="M149" t="s">
        <v>285</v>
      </c>
      <c r="N149" t="s">
        <v>286</v>
      </c>
      <c r="O149" t="s">
        <v>132</v>
      </c>
      <c r="P149" t="s">
        <v>77</v>
      </c>
      <c r="Q149" t="s">
        <v>187</v>
      </c>
      <c r="R149" t="s">
        <v>188</v>
      </c>
      <c r="S149" t="s">
        <v>105</v>
      </c>
      <c r="T149">
        <v>41201</v>
      </c>
      <c r="U149" t="s">
        <v>85</v>
      </c>
      <c r="V149">
        <v>51201</v>
      </c>
      <c r="W149" t="s">
        <v>81</v>
      </c>
      <c r="X149">
        <v>240425620</v>
      </c>
      <c r="Y149" t="s">
        <v>74</v>
      </c>
      <c r="Z149">
        <v>2</v>
      </c>
      <c r="AA149" t="s">
        <v>123</v>
      </c>
      <c r="AB149">
        <v>365</v>
      </c>
      <c r="AC149">
        <v>0</v>
      </c>
      <c r="AD149">
        <v>0</v>
      </c>
      <c r="AE149">
        <v>365</v>
      </c>
      <c r="AF149">
        <v>730</v>
      </c>
      <c r="AG149">
        <v>144.74</v>
      </c>
      <c r="AH149">
        <v>289.47000000000003</v>
      </c>
      <c r="AI149">
        <v>220.27</v>
      </c>
      <c r="AJ149">
        <v>440.53</v>
      </c>
      <c r="AK149">
        <v>60.35</v>
      </c>
      <c r="AL149">
        <v>-131.4</v>
      </c>
      <c r="AM149">
        <v>730</v>
      </c>
      <c r="AN149">
        <v>-131.4</v>
      </c>
      <c r="AO149">
        <v>154.565</v>
      </c>
      <c r="AP149">
        <v>309.13</v>
      </c>
      <c r="AQ149">
        <v>51.642164999999999</v>
      </c>
    </row>
    <row r="150" spans="1:43" x14ac:dyDescent="0.25">
      <c r="A150">
        <v>149</v>
      </c>
      <c r="B150" t="s">
        <v>71</v>
      </c>
      <c r="C150" t="s">
        <v>72</v>
      </c>
      <c r="D150" t="s">
        <v>73</v>
      </c>
      <c r="E150" t="s">
        <v>74</v>
      </c>
      <c r="F150">
        <v>240425679</v>
      </c>
      <c r="G150">
        <v>6580651</v>
      </c>
      <c r="H150" t="s">
        <v>97</v>
      </c>
      <c r="I150" t="s">
        <v>76</v>
      </c>
      <c r="J150" t="s">
        <v>97</v>
      </c>
      <c r="K150" t="s">
        <v>438</v>
      </c>
      <c r="L150" t="s">
        <v>285</v>
      </c>
      <c r="M150" t="s">
        <v>285</v>
      </c>
      <c r="N150" t="s">
        <v>286</v>
      </c>
      <c r="O150" t="s">
        <v>130</v>
      </c>
      <c r="P150" t="s">
        <v>77</v>
      </c>
      <c r="Q150" t="s">
        <v>212</v>
      </c>
      <c r="R150" t="s">
        <v>213</v>
      </c>
      <c r="S150" t="s">
        <v>105</v>
      </c>
      <c r="T150">
        <v>41201</v>
      </c>
      <c r="U150" t="s">
        <v>85</v>
      </c>
      <c r="V150">
        <v>51201</v>
      </c>
      <c r="W150" t="s">
        <v>81</v>
      </c>
      <c r="X150">
        <v>240425679</v>
      </c>
      <c r="Y150" t="s">
        <v>74</v>
      </c>
      <c r="Z150">
        <v>1</v>
      </c>
      <c r="AA150" t="s">
        <v>147</v>
      </c>
      <c r="AB150">
        <v>55.6</v>
      </c>
      <c r="AC150">
        <v>55.6</v>
      </c>
      <c r="AD150">
        <v>5.83</v>
      </c>
      <c r="AE150">
        <v>324.14999999999998</v>
      </c>
      <c r="AF150">
        <v>324.14999999999998</v>
      </c>
      <c r="AG150">
        <v>128</v>
      </c>
      <c r="AH150">
        <v>128</v>
      </c>
      <c r="AI150">
        <v>196.15</v>
      </c>
      <c r="AJ150">
        <v>196.15</v>
      </c>
      <c r="AK150">
        <v>60.51</v>
      </c>
      <c r="AL150">
        <v>-145.87</v>
      </c>
      <c r="AM150">
        <v>810.37</v>
      </c>
      <c r="AN150">
        <v>-58.35</v>
      </c>
      <c r="AO150">
        <v>137.80000000000001</v>
      </c>
      <c r="AP150">
        <v>137.80000000000001</v>
      </c>
      <c r="AQ150">
        <v>51.843491</v>
      </c>
    </row>
    <row r="151" spans="1:43" x14ac:dyDescent="0.25">
      <c r="A151">
        <v>150</v>
      </c>
      <c r="B151" t="s">
        <v>71</v>
      </c>
      <c r="C151" t="s">
        <v>72</v>
      </c>
      <c r="D151" t="s">
        <v>73</v>
      </c>
      <c r="E151" t="s">
        <v>74</v>
      </c>
      <c r="F151">
        <v>240425679</v>
      </c>
      <c r="G151">
        <v>6580651</v>
      </c>
      <c r="H151" t="s">
        <v>97</v>
      </c>
      <c r="I151" t="s">
        <v>76</v>
      </c>
      <c r="J151" t="s">
        <v>97</v>
      </c>
      <c r="K151" t="s">
        <v>438</v>
      </c>
      <c r="L151" t="s">
        <v>285</v>
      </c>
      <c r="M151" t="s">
        <v>285</v>
      </c>
      <c r="N151" t="s">
        <v>286</v>
      </c>
      <c r="O151" t="s">
        <v>130</v>
      </c>
      <c r="P151" t="s">
        <v>77</v>
      </c>
      <c r="Q151" t="s">
        <v>216</v>
      </c>
      <c r="R151" t="s">
        <v>217</v>
      </c>
      <c r="S151" t="s">
        <v>105</v>
      </c>
      <c r="T151">
        <v>41201</v>
      </c>
      <c r="U151" t="s">
        <v>85</v>
      </c>
      <c r="V151">
        <v>51201</v>
      </c>
      <c r="W151" t="s">
        <v>81</v>
      </c>
      <c r="X151">
        <v>240425679</v>
      </c>
      <c r="Y151" t="s">
        <v>74</v>
      </c>
      <c r="Z151">
        <v>1</v>
      </c>
      <c r="AA151" t="s">
        <v>147</v>
      </c>
      <c r="AB151">
        <v>83.4</v>
      </c>
      <c r="AC151">
        <v>83.4</v>
      </c>
      <c r="AD151">
        <v>5.83</v>
      </c>
      <c r="AE151">
        <v>486.22</v>
      </c>
      <c r="AF151">
        <v>486.22</v>
      </c>
      <c r="AG151">
        <v>185</v>
      </c>
      <c r="AH151">
        <v>185</v>
      </c>
      <c r="AI151">
        <v>301.22000000000003</v>
      </c>
      <c r="AJ151">
        <v>301.22000000000003</v>
      </c>
      <c r="AK151">
        <v>61.95</v>
      </c>
      <c r="AL151">
        <v>-145.87</v>
      </c>
      <c r="AM151">
        <v>810.37</v>
      </c>
      <c r="AN151">
        <v>-87.52</v>
      </c>
      <c r="AO151">
        <v>213.7</v>
      </c>
      <c r="AP151">
        <v>213.7</v>
      </c>
      <c r="AQ151">
        <v>53.599196999999997</v>
      </c>
    </row>
    <row r="152" spans="1:43" x14ac:dyDescent="0.25">
      <c r="A152">
        <v>151</v>
      </c>
      <c r="B152" t="s">
        <v>71</v>
      </c>
      <c r="C152" t="s">
        <v>72</v>
      </c>
      <c r="D152" t="s">
        <v>73</v>
      </c>
      <c r="E152" t="s">
        <v>74</v>
      </c>
      <c r="F152">
        <v>240425679</v>
      </c>
      <c r="G152">
        <v>6580651</v>
      </c>
      <c r="H152" t="s">
        <v>97</v>
      </c>
      <c r="I152" t="s">
        <v>76</v>
      </c>
      <c r="J152" t="s">
        <v>97</v>
      </c>
      <c r="K152" t="s">
        <v>438</v>
      </c>
      <c r="L152" t="s">
        <v>285</v>
      </c>
      <c r="M152" t="s">
        <v>285</v>
      </c>
      <c r="N152" t="s">
        <v>286</v>
      </c>
      <c r="O152" t="s">
        <v>130</v>
      </c>
      <c r="P152" t="s">
        <v>77</v>
      </c>
      <c r="Q152" t="s">
        <v>78</v>
      </c>
      <c r="R152" t="s">
        <v>143</v>
      </c>
      <c r="S152" t="s">
        <v>79</v>
      </c>
      <c r="T152">
        <v>43201</v>
      </c>
      <c r="U152" t="s">
        <v>129</v>
      </c>
      <c r="V152">
        <v>51201</v>
      </c>
      <c r="W152" t="s">
        <v>81</v>
      </c>
      <c r="X152">
        <v>240425679</v>
      </c>
      <c r="Y152" t="s">
        <v>74</v>
      </c>
      <c r="Z152">
        <v>0</v>
      </c>
      <c r="AA152" t="s">
        <v>147</v>
      </c>
      <c r="AB152">
        <v>25.02</v>
      </c>
      <c r="AC152">
        <v>-25.02</v>
      </c>
      <c r="AD152">
        <v>5.83</v>
      </c>
      <c r="AE152">
        <v>145.87</v>
      </c>
      <c r="AF152">
        <v>-145.87</v>
      </c>
      <c r="AG152">
        <v>0</v>
      </c>
      <c r="AH152">
        <v>0</v>
      </c>
      <c r="AI152">
        <v>145.87</v>
      </c>
      <c r="AJ152">
        <v>-145.87</v>
      </c>
      <c r="AK152">
        <v>0</v>
      </c>
      <c r="AL152">
        <v>-145.87</v>
      </c>
      <c r="AM152">
        <v>810.37</v>
      </c>
      <c r="AN152">
        <v>0</v>
      </c>
      <c r="AO152">
        <v>0</v>
      </c>
      <c r="AP152">
        <v>0</v>
      </c>
      <c r="AQ152">
        <v>0</v>
      </c>
    </row>
    <row r="153" spans="1:43" x14ac:dyDescent="0.25">
      <c r="A153">
        <v>152</v>
      </c>
      <c r="B153" t="s">
        <v>71</v>
      </c>
      <c r="C153" t="s">
        <v>72</v>
      </c>
      <c r="D153" t="s">
        <v>73</v>
      </c>
      <c r="E153" t="s">
        <v>74</v>
      </c>
      <c r="F153">
        <v>240425761</v>
      </c>
      <c r="G153">
        <v>6580733</v>
      </c>
      <c r="H153" t="s">
        <v>97</v>
      </c>
      <c r="I153" t="s">
        <v>76</v>
      </c>
      <c r="J153" t="s">
        <v>97</v>
      </c>
      <c r="K153" t="s">
        <v>439</v>
      </c>
      <c r="L153" t="s">
        <v>285</v>
      </c>
      <c r="M153" t="s">
        <v>285</v>
      </c>
      <c r="N153" t="s">
        <v>286</v>
      </c>
      <c r="O153" t="s">
        <v>10</v>
      </c>
      <c r="P153" t="s">
        <v>77</v>
      </c>
      <c r="Q153" t="s">
        <v>440</v>
      </c>
      <c r="R153" t="s">
        <v>441</v>
      </c>
      <c r="S153" t="s">
        <v>84</v>
      </c>
      <c r="T153">
        <v>41201</v>
      </c>
      <c r="U153" t="s">
        <v>85</v>
      </c>
      <c r="V153">
        <v>51201</v>
      </c>
      <c r="W153" t="s">
        <v>81</v>
      </c>
      <c r="X153">
        <v>240425761</v>
      </c>
      <c r="Y153" t="s">
        <v>74</v>
      </c>
      <c r="Z153">
        <v>1</v>
      </c>
      <c r="AA153" t="s">
        <v>152</v>
      </c>
      <c r="AB153">
        <v>292.10000000000002</v>
      </c>
      <c r="AC153">
        <v>292.10000000000002</v>
      </c>
      <c r="AD153">
        <v>1.76</v>
      </c>
      <c r="AE153">
        <v>514.1</v>
      </c>
      <c r="AF153">
        <v>514.1</v>
      </c>
      <c r="AG153">
        <v>118</v>
      </c>
      <c r="AH153">
        <v>118</v>
      </c>
      <c r="AI153">
        <v>396.1</v>
      </c>
      <c r="AJ153">
        <v>396.1</v>
      </c>
      <c r="AK153">
        <v>77.05</v>
      </c>
      <c r="AL153">
        <v>-92.54</v>
      </c>
      <c r="AM153">
        <v>514.1</v>
      </c>
      <c r="AN153">
        <v>-92.54</v>
      </c>
      <c r="AO153">
        <v>303.56</v>
      </c>
      <c r="AP153">
        <v>303.56</v>
      </c>
      <c r="AQ153">
        <v>72.008729000000002</v>
      </c>
    </row>
    <row r="154" spans="1:43" x14ac:dyDescent="0.25">
      <c r="A154">
        <v>153</v>
      </c>
      <c r="B154" t="s">
        <v>71</v>
      </c>
      <c r="C154" t="s">
        <v>72</v>
      </c>
      <c r="D154" t="s">
        <v>73</v>
      </c>
      <c r="E154" t="s">
        <v>74</v>
      </c>
      <c r="F154">
        <v>240425761</v>
      </c>
      <c r="G154">
        <v>6580733</v>
      </c>
      <c r="H154" t="s">
        <v>97</v>
      </c>
      <c r="I154" t="s">
        <v>76</v>
      </c>
      <c r="J154" t="s">
        <v>97</v>
      </c>
      <c r="K154" t="s">
        <v>439</v>
      </c>
      <c r="L154" t="s">
        <v>285</v>
      </c>
      <c r="M154" t="s">
        <v>285</v>
      </c>
      <c r="N154" t="s">
        <v>286</v>
      </c>
      <c r="O154" t="s">
        <v>10</v>
      </c>
      <c r="P154" t="s">
        <v>77</v>
      </c>
      <c r="Q154" t="s">
        <v>78</v>
      </c>
      <c r="R154" t="s">
        <v>143</v>
      </c>
      <c r="S154" t="s">
        <v>79</v>
      </c>
      <c r="T154">
        <v>43201</v>
      </c>
      <c r="U154" t="s">
        <v>129</v>
      </c>
      <c r="V154">
        <v>51201</v>
      </c>
      <c r="W154" t="s">
        <v>81</v>
      </c>
      <c r="X154">
        <v>240425761</v>
      </c>
      <c r="Y154" t="s">
        <v>74</v>
      </c>
      <c r="Z154">
        <v>0</v>
      </c>
      <c r="AA154" t="s">
        <v>152</v>
      </c>
      <c r="AB154">
        <v>52.58</v>
      </c>
      <c r="AC154">
        <v>-52.58</v>
      </c>
      <c r="AD154">
        <v>1.76</v>
      </c>
      <c r="AE154">
        <v>92.54</v>
      </c>
      <c r="AF154">
        <v>-92.54</v>
      </c>
      <c r="AG154">
        <v>0</v>
      </c>
      <c r="AH154">
        <v>0</v>
      </c>
      <c r="AI154">
        <v>92.54</v>
      </c>
      <c r="AJ154">
        <v>-92.54</v>
      </c>
      <c r="AK154">
        <v>0</v>
      </c>
      <c r="AL154">
        <v>-92.54</v>
      </c>
      <c r="AM154">
        <v>514.1</v>
      </c>
      <c r="AN154">
        <v>0</v>
      </c>
      <c r="AO154">
        <v>0</v>
      </c>
      <c r="AP154">
        <v>0</v>
      </c>
      <c r="AQ154">
        <v>0</v>
      </c>
    </row>
    <row r="155" spans="1:43" x14ac:dyDescent="0.25">
      <c r="A155">
        <v>154</v>
      </c>
      <c r="B155" t="s">
        <v>71</v>
      </c>
      <c r="C155" t="s">
        <v>72</v>
      </c>
      <c r="D155" t="s">
        <v>73</v>
      </c>
      <c r="E155" t="s">
        <v>74</v>
      </c>
      <c r="F155">
        <v>240425778</v>
      </c>
      <c r="G155">
        <v>6580750</v>
      </c>
      <c r="H155" t="s">
        <v>97</v>
      </c>
      <c r="I155" t="s">
        <v>76</v>
      </c>
      <c r="J155" t="s">
        <v>97</v>
      </c>
      <c r="K155" t="s">
        <v>442</v>
      </c>
      <c r="L155" t="s">
        <v>285</v>
      </c>
      <c r="M155" t="s">
        <v>285</v>
      </c>
      <c r="N155" t="s">
        <v>286</v>
      </c>
      <c r="O155" t="s">
        <v>10</v>
      </c>
      <c r="P155" t="s">
        <v>77</v>
      </c>
      <c r="Q155" t="s">
        <v>78</v>
      </c>
      <c r="R155" t="s">
        <v>143</v>
      </c>
      <c r="S155" t="s">
        <v>79</v>
      </c>
      <c r="T155">
        <v>43201</v>
      </c>
      <c r="U155" t="s">
        <v>129</v>
      </c>
      <c r="V155">
        <v>51201</v>
      </c>
      <c r="W155" t="s">
        <v>81</v>
      </c>
      <c r="X155">
        <v>240425778</v>
      </c>
      <c r="Y155" t="s">
        <v>74</v>
      </c>
      <c r="Z155">
        <v>0</v>
      </c>
      <c r="AA155" t="s">
        <v>152</v>
      </c>
      <c r="AB155">
        <v>65.05</v>
      </c>
      <c r="AC155">
        <v>-65.05</v>
      </c>
      <c r="AD155">
        <v>1.76</v>
      </c>
      <c r="AE155">
        <v>114.49</v>
      </c>
      <c r="AF155">
        <v>-114.49</v>
      </c>
      <c r="AG155">
        <v>0</v>
      </c>
      <c r="AH155">
        <v>0</v>
      </c>
      <c r="AI155">
        <v>114.49</v>
      </c>
      <c r="AJ155">
        <v>-114.49</v>
      </c>
      <c r="AK155">
        <v>0</v>
      </c>
      <c r="AL155">
        <v>-114.49</v>
      </c>
      <c r="AM155">
        <v>636.05999999999995</v>
      </c>
      <c r="AN155">
        <v>0</v>
      </c>
      <c r="AO155">
        <v>0</v>
      </c>
      <c r="AP155">
        <v>0</v>
      </c>
      <c r="AQ155">
        <v>0</v>
      </c>
    </row>
    <row r="156" spans="1:43" x14ac:dyDescent="0.25">
      <c r="A156">
        <v>155</v>
      </c>
      <c r="B156" t="s">
        <v>71</v>
      </c>
      <c r="C156" t="s">
        <v>72</v>
      </c>
      <c r="D156" t="s">
        <v>73</v>
      </c>
      <c r="E156" t="s">
        <v>74</v>
      </c>
      <c r="F156">
        <v>240425778</v>
      </c>
      <c r="G156">
        <v>6580750</v>
      </c>
      <c r="H156" t="s">
        <v>97</v>
      </c>
      <c r="I156" t="s">
        <v>76</v>
      </c>
      <c r="J156" t="s">
        <v>97</v>
      </c>
      <c r="K156" t="s">
        <v>442</v>
      </c>
      <c r="L156" t="s">
        <v>285</v>
      </c>
      <c r="M156" t="s">
        <v>285</v>
      </c>
      <c r="N156" t="s">
        <v>286</v>
      </c>
      <c r="O156" t="s">
        <v>10</v>
      </c>
      <c r="P156" t="s">
        <v>77</v>
      </c>
      <c r="Q156" t="s">
        <v>187</v>
      </c>
      <c r="R156" t="s">
        <v>188</v>
      </c>
      <c r="S156" t="s">
        <v>105</v>
      </c>
      <c r="T156">
        <v>41201</v>
      </c>
      <c r="U156" t="s">
        <v>85</v>
      </c>
      <c r="V156">
        <v>51201</v>
      </c>
      <c r="W156" t="s">
        <v>81</v>
      </c>
      <c r="X156">
        <v>240425778</v>
      </c>
      <c r="Y156" t="s">
        <v>74</v>
      </c>
      <c r="Z156">
        <v>2</v>
      </c>
      <c r="AA156" t="s">
        <v>152</v>
      </c>
      <c r="AB156">
        <v>180.7</v>
      </c>
      <c r="AC156">
        <v>361.4</v>
      </c>
      <c r="AD156">
        <v>1.76</v>
      </c>
      <c r="AE156">
        <v>318.02999999999997</v>
      </c>
      <c r="AF156">
        <v>636.05999999999995</v>
      </c>
      <c r="AG156">
        <v>144.74</v>
      </c>
      <c r="AH156">
        <v>289.47000000000003</v>
      </c>
      <c r="AI156">
        <v>173.3</v>
      </c>
      <c r="AJ156">
        <v>346.59</v>
      </c>
      <c r="AK156">
        <v>54.49</v>
      </c>
      <c r="AL156">
        <v>-114.49</v>
      </c>
      <c r="AM156">
        <v>636.05999999999995</v>
      </c>
      <c r="AN156">
        <v>-114.49</v>
      </c>
      <c r="AO156">
        <v>116.05</v>
      </c>
      <c r="AP156">
        <v>232.1</v>
      </c>
      <c r="AQ156">
        <v>44.500258000000002</v>
      </c>
    </row>
    <row r="157" spans="1:43" x14ac:dyDescent="0.25">
      <c r="A157">
        <v>156</v>
      </c>
      <c r="B157" t="s">
        <v>71</v>
      </c>
      <c r="C157" t="s">
        <v>72</v>
      </c>
      <c r="D157" t="s">
        <v>73</v>
      </c>
      <c r="E157" t="s">
        <v>74</v>
      </c>
      <c r="F157">
        <v>240425873</v>
      </c>
      <c r="G157">
        <v>6580845</v>
      </c>
      <c r="H157" t="s">
        <v>97</v>
      </c>
      <c r="I157" t="s">
        <v>76</v>
      </c>
      <c r="J157" t="s">
        <v>97</v>
      </c>
      <c r="K157" t="s">
        <v>443</v>
      </c>
      <c r="L157" t="s">
        <v>285</v>
      </c>
      <c r="M157" t="s">
        <v>285</v>
      </c>
      <c r="N157" t="s">
        <v>286</v>
      </c>
      <c r="O157" t="s">
        <v>132</v>
      </c>
      <c r="P157" t="s">
        <v>77</v>
      </c>
      <c r="Q157" t="s">
        <v>78</v>
      </c>
      <c r="R157" t="s">
        <v>143</v>
      </c>
      <c r="S157" t="s">
        <v>79</v>
      </c>
      <c r="T157">
        <v>43201</v>
      </c>
      <c r="U157" t="s">
        <v>129</v>
      </c>
      <c r="V157">
        <v>51201</v>
      </c>
      <c r="W157" t="s">
        <v>81</v>
      </c>
      <c r="X157">
        <v>240425873</v>
      </c>
      <c r="Y157" t="s">
        <v>74</v>
      </c>
      <c r="Z157">
        <v>0</v>
      </c>
      <c r="AA157" t="s">
        <v>123</v>
      </c>
      <c r="AB157">
        <v>113.4</v>
      </c>
      <c r="AC157">
        <v>0</v>
      </c>
      <c r="AD157">
        <v>0</v>
      </c>
      <c r="AE157">
        <v>113.4</v>
      </c>
      <c r="AF157">
        <v>-113.4</v>
      </c>
      <c r="AG157">
        <v>0</v>
      </c>
      <c r="AH157">
        <v>0</v>
      </c>
      <c r="AI157">
        <v>113.4</v>
      </c>
      <c r="AJ157">
        <v>-113.4</v>
      </c>
      <c r="AK157">
        <v>0</v>
      </c>
      <c r="AL157">
        <v>-113.4</v>
      </c>
      <c r="AM157">
        <v>630</v>
      </c>
      <c r="AN157">
        <v>0</v>
      </c>
      <c r="AO157">
        <v>0</v>
      </c>
      <c r="AP157">
        <v>0</v>
      </c>
      <c r="AQ157">
        <v>0</v>
      </c>
    </row>
    <row r="158" spans="1:43" x14ac:dyDescent="0.25">
      <c r="A158">
        <v>157</v>
      </c>
      <c r="B158" t="s">
        <v>71</v>
      </c>
      <c r="C158" t="s">
        <v>72</v>
      </c>
      <c r="D158" t="s">
        <v>73</v>
      </c>
      <c r="E158" t="s">
        <v>74</v>
      </c>
      <c r="F158">
        <v>240425873</v>
      </c>
      <c r="G158">
        <v>6580845</v>
      </c>
      <c r="H158" t="s">
        <v>97</v>
      </c>
      <c r="I158" t="s">
        <v>76</v>
      </c>
      <c r="J158" t="s">
        <v>97</v>
      </c>
      <c r="K158" t="s">
        <v>443</v>
      </c>
      <c r="L158" t="s">
        <v>285</v>
      </c>
      <c r="M158" t="s">
        <v>285</v>
      </c>
      <c r="N158" t="s">
        <v>286</v>
      </c>
      <c r="O158" t="s">
        <v>132</v>
      </c>
      <c r="P158" t="s">
        <v>77</v>
      </c>
      <c r="Q158" t="s">
        <v>270</v>
      </c>
      <c r="R158" t="s">
        <v>271</v>
      </c>
      <c r="S158" t="s">
        <v>84</v>
      </c>
      <c r="T158">
        <v>41201</v>
      </c>
      <c r="U158" t="s">
        <v>85</v>
      </c>
      <c r="V158">
        <v>51201</v>
      </c>
      <c r="W158" t="s">
        <v>81</v>
      </c>
      <c r="X158">
        <v>240425873</v>
      </c>
      <c r="Y158" t="s">
        <v>74</v>
      </c>
      <c r="Z158">
        <v>1</v>
      </c>
      <c r="AA158" t="s">
        <v>123</v>
      </c>
      <c r="AB158">
        <v>630</v>
      </c>
      <c r="AC158">
        <v>0</v>
      </c>
      <c r="AD158">
        <v>0</v>
      </c>
      <c r="AE158">
        <v>630</v>
      </c>
      <c r="AF158">
        <v>630</v>
      </c>
      <c r="AG158">
        <v>245.94</v>
      </c>
      <c r="AH158">
        <v>245.94</v>
      </c>
      <c r="AI158">
        <v>384.06</v>
      </c>
      <c r="AJ158">
        <v>384.06</v>
      </c>
      <c r="AK158">
        <v>60.96</v>
      </c>
      <c r="AL158">
        <v>-113.4</v>
      </c>
      <c r="AM158">
        <v>630</v>
      </c>
      <c r="AN158">
        <v>-113.4</v>
      </c>
      <c r="AO158">
        <v>270.66000000000003</v>
      </c>
      <c r="AP158">
        <v>270.66000000000003</v>
      </c>
      <c r="AQ158">
        <v>52.392566000000002</v>
      </c>
    </row>
    <row r="159" spans="1:43" x14ac:dyDescent="0.25">
      <c r="A159">
        <v>158</v>
      </c>
      <c r="B159" t="s">
        <v>71</v>
      </c>
      <c r="C159" t="s">
        <v>72</v>
      </c>
      <c r="D159" t="s">
        <v>73</v>
      </c>
      <c r="E159" t="s">
        <v>74</v>
      </c>
      <c r="F159">
        <v>240426051</v>
      </c>
      <c r="G159">
        <v>6581023</v>
      </c>
      <c r="H159" t="s">
        <v>97</v>
      </c>
      <c r="I159" t="s">
        <v>76</v>
      </c>
      <c r="J159" t="s">
        <v>97</v>
      </c>
      <c r="K159" t="s">
        <v>444</v>
      </c>
      <c r="L159" t="s">
        <v>285</v>
      </c>
      <c r="M159" t="s">
        <v>285</v>
      </c>
      <c r="N159" t="s">
        <v>286</v>
      </c>
      <c r="O159" t="s">
        <v>10</v>
      </c>
      <c r="P159" t="s">
        <v>77</v>
      </c>
      <c r="Q159" t="s">
        <v>78</v>
      </c>
      <c r="R159" t="s">
        <v>143</v>
      </c>
      <c r="S159" t="s">
        <v>79</v>
      </c>
      <c r="T159">
        <v>43201</v>
      </c>
      <c r="U159" t="s">
        <v>129</v>
      </c>
      <c r="V159">
        <v>51201</v>
      </c>
      <c r="W159" t="s">
        <v>81</v>
      </c>
      <c r="X159">
        <v>240426051</v>
      </c>
      <c r="Y159" t="s">
        <v>74</v>
      </c>
      <c r="Z159">
        <v>0</v>
      </c>
      <c r="AA159" t="s">
        <v>152</v>
      </c>
      <c r="AB159">
        <v>89.12</v>
      </c>
      <c r="AC159">
        <v>-89.12</v>
      </c>
      <c r="AD159">
        <v>1.76</v>
      </c>
      <c r="AE159">
        <v>156.85</v>
      </c>
      <c r="AF159">
        <v>-156.85</v>
      </c>
      <c r="AG159">
        <v>0</v>
      </c>
      <c r="AH159">
        <v>0</v>
      </c>
      <c r="AI159">
        <v>156.85</v>
      </c>
      <c r="AJ159">
        <v>-156.85</v>
      </c>
      <c r="AK159">
        <v>0</v>
      </c>
      <c r="AL159">
        <v>-156.85</v>
      </c>
      <c r="AM159">
        <v>871.38</v>
      </c>
      <c r="AN159">
        <v>0</v>
      </c>
      <c r="AO159">
        <v>0</v>
      </c>
      <c r="AP159">
        <v>0</v>
      </c>
      <c r="AQ159">
        <v>0</v>
      </c>
    </row>
    <row r="160" spans="1:43" x14ac:dyDescent="0.25">
      <c r="A160">
        <v>159</v>
      </c>
      <c r="B160" t="s">
        <v>71</v>
      </c>
      <c r="C160" t="s">
        <v>72</v>
      </c>
      <c r="D160" t="s">
        <v>73</v>
      </c>
      <c r="E160" t="s">
        <v>74</v>
      </c>
      <c r="F160">
        <v>240426051</v>
      </c>
      <c r="G160">
        <v>6581023</v>
      </c>
      <c r="H160" t="s">
        <v>97</v>
      </c>
      <c r="I160" t="s">
        <v>76</v>
      </c>
      <c r="J160" t="s">
        <v>97</v>
      </c>
      <c r="K160" t="s">
        <v>444</v>
      </c>
      <c r="L160" t="s">
        <v>285</v>
      </c>
      <c r="M160" t="s">
        <v>285</v>
      </c>
      <c r="N160" t="s">
        <v>286</v>
      </c>
      <c r="O160" t="s">
        <v>10</v>
      </c>
      <c r="P160" t="s">
        <v>77</v>
      </c>
      <c r="Q160" t="s">
        <v>195</v>
      </c>
      <c r="R160" t="s">
        <v>149</v>
      </c>
      <c r="S160" t="s">
        <v>105</v>
      </c>
      <c r="T160">
        <v>41201</v>
      </c>
      <c r="U160" t="s">
        <v>85</v>
      </c>
      <c r="V160">
        <v>51201</v>
      </c>
      <c r="W160" t="s">
        <v>81</v>
      </c>
      <c r="X160">
        <v>240426051</v>
      </c>
      <c r="Y160" t="s">
        <v>74</v>
      </c>
      <c r="Z160">
        <v>1</v>
      </c>
      <c r="AA160" t="s">
        <v>152</v>
      </c>
      <c r="AB160">
        <v>145.47</v>
      </c>
      <c r="AC160">
        <v>145.47</v>
      </c>
      <c r="AD160">
        <v>1.76</v>
      </c>
      <c r="AE160">
        <v>256.02999999999997</v>
      </c>
      <c r="AF160">
        <v>256.02999999999997</v>
      </c>
      <c r="AG160">
        <v>113</v>
      </c>
      <c r="AH160">
        <v>113</v>
      </c>
      <c r="AI160">
        <v>143.03</v>
      </c>
      <c r="AJ160">
        <v>143.03</v>
      </c>
      <c r="AK160">
        <v>55.86</v>
      </c>
      <c r="AL160">
        <v>-156.85</v>
      </c>
      <c r="AM160">
        <v>871.38</v>
      </c>
      <c r="AN160">
        <v>-46.09</v>
      </c>
      <c r="AO160">
        <v>96.94</v>
      </c>
      <c r="AP160">
        <v>96.94</v>
      </c>
      <c r="AQ160">
        <v>46.175097000000001</v>
      </c>
    </row>
    <row r="161" spans="1:43" x14ac:dyDescent="0.25">
      <c r="A161">
        <v>160</v>
      </c>
      <c r="B161" t="s">
        <v>71</v>
      </c>
      <c r="C161" t="s">
        <v>72</v>
      </c>
      <c r="D161" t="s">
        <v>73</v>
      </c>
      <c r="E161" t="s">
        <v>74</v>
      </c>
      <c r="F161">
        <v>240426051</v>
      </c>
      <c r="G161">
        <v>6581023</v>
      </c>
      <c r="H161" t="s">
        <v>97</v>
      </c>
      <c r="I161" t="s">
        <v>76</v>
      </c>
      <c r="J161" t="s">
        <v>97</v>
      </c>
      <c r="K161" t="s">
        <v>444</v>
      </c>
      <c r="L161" t="s">
        <v>285</v>
      </c>
      <c r="M161" t="s">
        <v>285</v>
      </c>
      <c r="N161" t="s">
        <v>286</v>
      </c>
      <c r="O161" t="s">
        <v>10</v>
      </c>
      <c r="P161" t="s">
        <v>77</v>
      </c>
      <c r="Q161" t="s">
        <v>150</v>
      </c>
      <c r="R161" t="s">
        <v>151</v>
      </c>
      <c r="S161" t="s">
        <v>105</v>
      </c>
      <c r="T161">
        <v>41201</v>
      </c>
      <c r="U161" t="s">
        <v>85</v>
      </c>
      <c r="V161">
        <v>51201</v>
      </c>
      <c r="W161" t="s">
        <v>81</v>
      </c>
      <c r="X161">
        <v>240426051</v>
      </c>
      <c r="Y161" t="s">
        <v>74</v>
      </c>
      <c r="Z161">
        <v>1</v>
      </c>
      <c r="AA161" t="s">
        <v>152</v>
      </c>
      <c r="AB161">
        <v>146.63</v>
      </c>
      <c r="AC161">
        <v>146.63</v>
      </c>
      <c r="AD161">
        <v>1.76</v>
      </c>
      <c r="AE161">
        <v>258.07</v>
      </c>
      <c r="AF161">
        <v>258.07</v>
      </c>
      <c r="AG161">
        <v>112.81</v>
      </c>
      <c r="AH161">
        <v>112.81</v>
      </c>
      <c r="AI161">
        <v>145.26</v>
      </c>
      <c r="AJ161">
        <v>145.26</v>
      </c>
      <c r="AK161">
        <v>56.29</v>
      </c>
      <c r="AL161">
        <v>-156.85</v>
      </c>
      <c r="AM161">
        <v>871.38</v>
      </c>
      <c r="AN161">
        <v>-46.45</v>
      </c>
      <c r="AO161">
        <v>98.81</v>
      </c>
      <c r="AP161">
        <v>98.81</v>
      </c>
      <c r="AQ161">
        <v>46.692183999999997</v>
      </c>
    </row>
    <row r="162" spans="1:43" x14ac:dyDescent="0.25">
      <c r="A162">
        <v>161</v>
      </c>
      <c r="B162" t="s">
        <v>71</v>
      </c>
      <c r="C162" t="s">
        <v>72</v>
      </c>
      <c r="D162" t="s">
        <v>73</v>
      </c>
      <c r="E162" t="s">
        <v>74</v>
      </c>
      <c r="F162">
        <v>240426051</v>
      </c>
      <c r="G162">
        <v>6581023</v>
      </c>
      <c r="H162" t="s">
        <v>97</v>
      </c>
      <c r="I162" t="s">
        <v>76</v>
      </c>
      <c r="J162" t="s">
        <v>97</v>
      </c>
      <c r="K162" t="s">
        <v>444</v>
      </c>
      <c r="L162" t="s">
        <v>285</v>
      </c>
      <c r="M162" t="s">
        <v>285</v>
      </c>
      <c r="N162" t="s">
        <v>286</v>
      </c>
      <c r="O162" t="s">
        <v>10</v>
      </c>
      <c r="P162" t="s">
        <v>77</v>
      </c>
      <c r="Q162" t="s">
        <v>187</v>
      </c>
      <c r="R162" t="s">
        <v>188</v>
      </c>
      <c r="S162" t="s">
        <v>105</v>
      </c>
      <c r="T162">
        <v>41201</v>
      </c>
      <c r="U162" t="s">
        <v>85</v>
      </c>
      <c r="V162">
        <v>51201</v>
      </c>
      <c r="W162" t="s">
        <v>81</v>
      </c>
      <c r="X162">
        <v>240426051</v>
      </c>
      <c r="Y162" t="s">
        <v>74</v>
      </c>
      <c r="Z162">
        <v>1</v>
      </c>
      <c r="AA162" t="s">
        <v>152</v>
      </c>
      <c r="AB162">
        <v>203</v>
      </c>
      <c r="AC162">
        <v>203</v>
      </c>
      <c r="AD162">
        <v>1.76</v>
      </c>
      <c r="AE162">
        <v>357.28</v>
      </c>
      <c r="AF162">
        <v>357.28</v>
      </c>
      <c r="AG162">
        <v>144.74</v>
      </c>
      <c r="AH162">
        <v>144.74</v>
      </c>
      <c r="AI162">
        <v>212.54</v>
      </c>
      <c r="AJ162">
        <v>212.54</v>
      </c>
      <c r="AK162">
        <v>59.49</v>
      </c>
      <c r="AL162">
        <v>-156.85</v>
      </c>
      <c r="AM162">
        <v>871.38</v>
      </c>
      <c r="AN162">
        <v>-64.31</v>
      </c>
      <c r="AO162">
        <v>148.22999999999999</v>
      </c>
      <c r="AP162">
        <v>148.22999999999999</v>
      </c>
      <c r="AQ162">
        <v>50.595624000000001</v>
      </c>
    </row>
    <row r="163" spans="1:43" x14ac:dyDescent="0.25">
      <c r="A163">
        <v>162</v>
      </c>
      <c r="B163" t="s">
        <v>71</v>
      </c>
      <c r="C163" t="s">
        <v>72</v>
      </c>
      <c r="D163" t="s">
        <v>73</v>
      </c>
      <c r="E163" t="s">
        <v>74</v>
      </c>
      <c r="F163">
        <v>240426365</v>
      </c>
      <c r="G163">
        <v>6581337</v>
      </c>
      <c r="H163" t="s">
        <v>97</v>
      </c>
      <c r="I163" t="s">
        <v>76</v>
      </c>
      <c r="J163" t="s">
        <v>97</v>
      </c>
      <c r="K163" t="s">
        <v>445</v>
      </c>
      <c r="L163" t="s">
        <v>285</v>
      </c>
      <c r="M163" t="s">
        <v>285</v>
      </c>
      <c r="N163" t="s">
        <v>286</v>
      </c>
      <c r="O163" t="s">
        <v>10</v>
      </c>
      <c r="P163" t="s">
        <v>77</v>
      </c>
      <c r="Q163" t="s">
        <v>103</v>
      </c>
      <c r="R163" t="s">
        <v>104</v>
      </c>
      <c r="S163" t="s">
        <v>105</v>
      </c>
      <c r="T163">
        <v>41201</v>
      </c>
      <c r="U163" t="s">
        <v>85</v>
      </c>
      <c r="V163">
        <v>51201</v>
      </c>
      <c r="W163" t="s">
        <v>81</v>
      </c>
      <c r="X163">
        <v>240426365</v>
      </c>
      <c r="Y163" t="s">
        <v>74</v>
      </c>
      <c r="Z163">
        <v>1</v>
      </c>
      <c r="AA163" t="s">
        <v>152</v>
      </c>
      <c r="AB163">
        <v>143.55000000000001</v>
      </c>
      <c r="AC163">
        <v>143.55000000000001</v>
      </c>
      <c r="AD163">
        <v>1.76</v>
      </c>
      <c r="AE163">
        <v>252.65</v>
      </c>
      <c r="AF163">
        <v>252.65</v>
      </c>
      <c r="AG163">
        <v>96.05</v>
      </c>
      <c r="AH163">
        <v>96.05</v>
      </c>
      <c r="AI163">
        <v>156.6</v>
      </c>
      <c r="AJ163">
        <v>156.6</v>
      </c>
      <c r="AK163">
        <v>61.98</v>
      </c>
      <c r="AL163">
        <v>-113.7</v>
      </c>
      <c r="AM163">
        <v>505.3</v>
      </c>
      <c r="AN163">
        <v>-56.85</v>
      </c>
      <c r="AO163">
        <v>99.75</v>
      </c>
      <c r="AP163">
        <v>99.75</v>
      </c>
      <c r="AQ163">
        <v>50.944840999999997</v>
      </c>
    </row>
    <row r="164" spans="1:43" x14ac:dyDescent="0.25">
      <c r="A164">
        <v>163</v>
      </c>
      <c r="B164" t="s">
        <v>71</v>
      </c>
      <c r="C164" t="s">
        <v>72</v>
      </c>
      <c r="D164" t="s">
        <v>73</v>
      </c>
      <c r="E164" t="s">
        <v>74</v>
      </c>
      <c r="F164">
        <v>240426365</v>
      </c>
      <c r="G164">
        <v>6581337</v>
      </c>
      <c r="H164" t="s">
        <v>97</v>
      </c>
      <c r="I164" t="s">
        <v>76</v>
      </c>
      <c r="J164" t="s">
        <v>97</v>
      </c>
      <c r="K164" t="s">
        <v>445</v>
      </c>
      <c r="L164" t="s">
        <v>285</v>
      </c>
      <c r="M164" t="s">
        <v>285</v>
      </c>
      <c r="N164" t="s">
        <v>286</v>
      </c>
      <c r="O164" t="s">
        <v>10</v>
      </c>
      <c r="P164" t="s">
        <v>77</v>
      </c>
      <c r="Q164" t="s">
        <v>153</v>
      </c>
      <c r="R164" t="s">
        <v>154</v>
      </c>
      <c r="S164" t="s">
        <v>105</v>
      </c>
      <c r="T164">
        <v>41201</v>
      </c>
      <c r="U164" t="s">
        <v>85</v>
      </c>
      <c r="V164">
        <v>51201</v>
      </c>
      <c r="W164" t="s">
        <v>81</v>
      </c>
      <c r="X164">
        <v>240426365</v>
      </c>
      <c r="Y164" t="s">
        <v>74</v>
      </c>
      <c r="Z164">
        <v>1</v>
      </c>
      <c r="AA164" t="s">
        <v>152</v>
      </c>
      <c r="AB164">
        <v>143.55000000000001</v>
      </c>
      <c r="AC164">
        <v>143.55000000000001</v>
      </c>
      <c r="AD164">
        <v>1.76</v>
      </c>
      <c r="AE164">
        <v>252.65</v>
      </c>
      <c r="AF164">
        <v>252.65</v>
      </c>
      <c r="AG164">
        <v>95.76</v>
      </c>
      <c r="AH164">
        <v>95.76</v>
      </c>
      <c r="AI164">
        <v>156.88999999999999</v>
      </c>
      <c r="AJ164">
        <v>156.88999999999999</v>
      </c>
      <c r="AK164">
        <v>62.1</v>
      </c>
      <c r="AL164">
        <v>-113.7</v>
      </c>
      <c r="AM164">
        <v>505.3</v>
      </c>
      <c r="AN164">
        <v>-56.85</v>
      </c>
      <c r="AO164">
        <v>100.04</v>
      </c>
      <c r="AP164">
        <v>100.04</v>
      </c>
      <c r="AQ164">
        <v>51.092950999999999</v>
      </c>
    </row>
    <row r="165" spans="1:43" x14ac:dyDescent="0.25">
      <c r="A165">
        <v>164</v>
      </c>
      <c r="B165" t="s">
        <v>71</v>
      </c>
      <c r="C165" t="s">
        <v>72</v>
      </c>
      <c r="D165" t="s">
        <v>73</v>
      </c>
      <c r="E165" t="s">
        <v>74</v>
      </c>
      <c r="F165">
        <v>240426365</v>
      </c>
      <c r="G165">
        <v>6581337</v>
      </c>
      <c r="H165" t="s">
        <v>97</v>
      </c>
      <c r="I165" t="s">
        <v>76</v>
      </c>
      <c r="J165" t="s">
        <v>97</v>
      </c>
      <c r="K165" t="s">
        <v>445</v>
      </c>
      <c r="L165" t="s">
        <v>285</v>
      </c>
      <c r="M165" t="s">
        <v>285</v>
      </c>
      <c r="N165" t="s">
        <v>286</v>
      </c>
      <c r="O165" t="s">
        <v>10</v>
      </c>
      <c r="P165" t="s">
        <v>77</v>
      </c>
      <c r="Q165" t="s">
        <v>78</v>
      </c>
      <c r="R165" t="s">
        <v>143</v>
      </c>
      <c r="S165" t="s">
        <v>79</v>
      </c>
      <c r="T165">
        <v>43201</v>
      </c>
      <c r="U165" t="s">
        <v>129</v>
      </c>
      <c r="V165">
        <v>51201</v>
      </c>
      <c r="W165" t="s">
        <v>81</v>
      </c>
      <c r="X165">
        <v>240426365</v>
      </c>
      <c r="Y165" t="s">
        <v>74</v>
      </c>
      <c r="Z165">
        <v>0</v>
      </c>
      <c r="AA165" t="s">
        <v>152</v>
      </c>
      <c r="AB165">
        <v>64.599999999999994</v>
      </c>
      <c r="AC165">
        <v>-64.599999999999994</v>
      </c>
      <c r="AD165">
        <v>1.76</v>
      </c>
      <c r="AE165">
        <v>113.7</v>
      </c>
      <c r="AF165">
        <v>-113.7</v>
      </c>
      <c r="AG165">
        <v>0</v>
      </c>
      <c r="AH165">
        <v>0</v>
      </c>
      <c r="AI165">
        <v>113.7</v>
      </c>
      <c r="AJ165">
        <v>-113.7</v>
      </c>
      <c r="AK165">
        <v>0</v>
      </c>
      <c r="AL165">
        <v>-113.7</v>
      </c>
      <c r="AM165">
        <v>505.3</v>
      </c>
      <c r="AN165">
        <v>0</v>
      </c>
      <c r="AO165">
        <v>0</v>
      </c>
      <c r="AP165">
        <v>0</v>
      </c>
      <c r="AQ165">
        <v>0</v>
      </c>
    </row>
    <row r="166" spans="1:43" x14ac:dyDescent="0.25">
      <c r="A166">
        <v>165</v>
      </c>
      <c r="B166" t="s">
        <v>71</v>
      </c>
      <c r="C166" t="s">
        <v>72</v>
      </c>
      <c r="D166" t="s">
        <v>73</v>
      </c>
      <c r="E166" t="s">
        <v>74</v>
      </c>
      <c r="F166">
        <v>240426440</v>
      </c>
      <c r="G166">
        <v>6581412</v>
      </c>
      <c r="H166" t="s">
        <v>97</v>
      </c>
      <c r="I166" t="s">
        <v>76</v>
      </c>
      <c r="J166" t="s">
        <v>97</v>
      </c>
      <c r="K166" t="s">
        <v>446</v>
      </c>
      <c r="L166" t="s">
        <v>285</v>
      </c>
      <c r="M166" t="s">
        <v>285</v>
      </c>
      <c r="N166" t="s">
        <v>286</v>
      </c>
      <c r="O166" t="s">
        <v>130</v>
      </c>
      <c r="P166" t="s">
        <v>77</v>
      </c>
      <c r="Q166" t="s">
        <v>249</v>
      </c>
      <c r="R166" t="s">
        <v>250</v>
      </c>
      <c r="S166" t="s">
        <v>105</v>
      </c>
      <c r="T166">
        <v>41201</v>
      </c>
      <c r="U166" t="s">
        <v>85</v>
      </c>
      <c r="V166">
        <v>51201</v>
      </c>
      <c r="W166" t="s">
        <v>81</v>
      </c>
      <c r="X166">
        <v>240426440</v>
      </c>
      <c r="Y166" t="s">
        <v>74</v>
      </c>
      <c r="Z166">
        <v>1</v>
      </c>
      <c r="AA166" t="s">
        <v>147</v>
      </c>
      <c r="AB166">
        <v>38</v>
      </c>
      <c r="AC166">
        <v>38</v>
      </c>
      <c r="AD166">
        <v>5.83</v>
      </c>
      <c r="AE166">
        <v>221.54</v>
      </c>
      <c r="AF166">
        <v>221.54</v>
      </c>
      <c r="AG166">
        <v>89.33</v>
      </c>
      <c r="AH166">
        <v>89.33</v>
      </c>
      <c r="AI166">
        <v>132.21</v>
      </c>
      <c r="AJ166">
        <v>132.21</v>
      </c>
      <c r="AK166">
        <v>59.68</v>
      </c>
      <c r="AL166">
        <v>0</v>
      </c>
      <c r="AM166">
        <v>221.54</v>
      </c>
      <c r="AN166">
        <v>0</v>
      </c>
      <c r="AO166">
        <v>132.21</v>
      </c>
      <c r="AP166">
        <v>132.21</v>
      </c>
      <c r="AQ166">
        <v>59.677709999999998</v>
      </c>
    </row>
    <row r="167" spans="1:43" x14ac:dyDescent="0.25">
      <c r="A167">
        <v>166</v>
      </c>
      <c r="B167" t="s">
        <v>71</v>
      </c>
      <c r="C167" t="s">
        <v>72</v>
      </c>
      <c r="D167" t="s">
        <v>73</v>
      </c>
      <c r="E167" t="s">
        <v>74</v>
      </c>
      <c r="F167">
        <v>240426551</v>
      </c>
      <c r="G167">
        <v>6581523</v>
      </c>
      <c r="H167" t="s">
        <v>97</v>
      </c>
      <c r="I167" t="s">
        <v>76</v>
      </c>
      <c r="J167" t="s">
        <v>97</v>
      </c>
      <c r="K167" t="s">
        <v>447</v>
      </c>
      <c r="L167" t="s">
        <v>285</v>
      </c>
      <c r="M167" t="s">
        <v>285</v>
      </c>
      <c r="N167" t="s">
        <v>286</v>
      </c>
      <c r="O167" t="s">
        <v>10</v>
      </c>
      <c r="P167" t="s">
        <v>77</v>
      </c>
      <c r="Q167" t="s">
        <v>78</v>
      </c>
      <c r="R167" t="s">
        <v>143</v>
      </c>
      <c r="S167" t="s">
        <v>79</v>
      </c>
      <c r="T167">
        <v>43201</v>
      </c>
      <c r="U167" t="s">
        <v>129</v>
      </c>
      <c r="V167">
        <v>51201</v>
      </c>
      <c r="W167" t="s">
        <v>81</v>
      </c>
      <c r="X167">
        <v>240426551</v>
      </c>
      <c r="Y167" t="s">
        <v>74</v>
      </c>
      <c r="Z167">
        <v>0</v>
      </c>
      <c r="AA167" t="s">
        <v>152</v>
      </c>
      <c r="AB167">
        <v>33.86</v>
      </c>
      <c r="AC167">
        <v>-33.86</v>
      </c>
      <c r="AD167">
        <v>1.76</v>
      </c>
      <c r="AE167">
        <v>59.59</v>
      </c>
      <c r="AF167">
        <v>-59.59</v>
      </c>
      <c r="AG167">
        <v>0</v>
      </c>
      <c r="AH167">
        <v>0</v>
      </c>
      <c r="AI167">
        <v>59.59</v>
      </c>
      <c r="AJ167">
        <v>-59.59</v>
      </c>
      <c r="AK167">
        <v>0</v>
      </c>
      <c r="AL167">
        <v>-59.59</v>
      </c>
      <c r="AM167">
        <v>331.06</v>
      </c>
      <c r="AN167">
        <v>0</v>
      </c>
      <c r="AO167">
        <v>0</v>
      </c>
      <c r="AP167">
        <v>0</v>
      </c>
      <c r="AQ167">
        <v>0</v>
      </c>
    </row>
    <row r="168" spans="1:43" x14ac:dyDescent="0.25">
      <c r="A168">
        <v>167</v>
      </c>
      <c r="B168" t="s">
        <v>71</v>
      </c>
      <c r="C168" t="s">
        <v>72</v>
      </c>
      <c r="D168" t="s">
        <v>73</v>
      </c>
      <c r="E168" t="s">
        <v>74</v>
      </c>
      <c r="F168">
        <v>240426551</v>
      </c>
      <c r="G168">
        <v>6581523</v>
      </c>
      <c r="H168" t="s">
        <v>97</v>
      </c>
      <c r="I168" t="s">
        <v>76</v>
      </c>
      <c r="J168" t="s">
        <v>97</v>
      </c>
      <c r="K168" t="s">
        <v>447</v>
      </c>
      <c r="L168" t="s">
        <v>285</v>
      </c>
      <c r="M168" t="s">
        <v>285</v>
      </c>
      <c r="N168" t="s">
        <v>286</v>
      </c>
      <c r="O168" t="s">
        <v>10</v>
      </c>
      <c r="P168" t="s">
        <v>77</v>
      </c>
      <c r="Q168" t="s">
        <v>254</v>
      </c>
      <c r="R168" t="s">
        <v>255</v>
      </c>
      <c r="S168" t="s">
        <v>105</v>
      </c>
      <c r="T168">
        <v>41201</v>
      </c>
      <c r="U168" t="s">
        <v>85</v>
      </c>
      <c r="V168">
        <v>51201</v>
      </c>
      <c r="W168" t="s">
        <v>81</v>
      </c>
      <c r="X168">
        <v>240426551</v>
      </c>
      <c r="Y168" t="s">
        <v>74</v>
      </c>
      <c r="Z168">
        <v>1</v>
      </c>
      <c r="AA168" t="s">
        <v>152</v>
      </c>
      <c r="AB168">
        <v>188.1</v>
      </c>
      <c r="AC168">
        <v>188.1</v>
      </c>
      <c r="AD168">
        <v>1.76</v>
      </c>
      <c r="AE168">
        <v>331.06</v>
      </c>
      <c r="AF168">
        <v>331.06</v>
      </c>
      <c r="AG168">
        <v>128.82</v>
      </c>
      <c r="AH168">
        <v>128.82</v>
      </c>
      <c r="AI168">
        <v>202.24</v>
      </c>
      <c r="AJ168">
        <v>202.24</v>
      </c>
      <c r="AK168">
        <v>61.09</v>
      </c>
      <c r="AL168">
        <v>-59.59</v>
      </c>
      <c r="AM168">
        <v>331.06</v>
      </c>
      <c r="AN168">
        <v>-59.59</v>
      </c>
      <c r="AO168">
        <v>142.65</v>
      </c>
      <c r="AP168">
        <v>142.65</v>
      </c>
      <c r="AQ168">
        <v>52.547241999999997</v>
      </c>
    </row>
    <row r="169" spans="1:43" x14ac:dyDescent="0.25">
      <c r="A169">
        <v>168</v>
      </c>
      <c r="B169" t="s">
        <v>71</v>
      </c>
      <c r="C169" t="s">
        <v>72</v>
      </c>
      <c r="D169" t="s">
        <v>73</v>
      </c>
      <c r="E169" t="s">
        <v>74</v>
      </c>
      <c r="F169">
        <v>240426710</v>
      </c>
      <c r="G169">
        <v>6581682</v>
      </c>
      <c r="H169" t="s">
        <v>97</v>
      </c>
      <c r="I169" t="s">
        <v>76</v>
      </c>
      <c r="J169" t="s">
        <v>97</v>
      </c>
      <c r="K169" t="s">
        <v>448</v>
      </c>
      <c r="L169" t="s">
        <v>285</v>
      </c>
      <c r="M169" t="s">
        <v>285</v>
      </c>
      <c r="N169" t="s">
        <v>286</v>
      </c>
      <c r="O169" t="s">
        <v>130</v>
      </c>
      <c r="P169" t="s">
        <v>77</v>
      </c>
      <c r="Q169" t="s">
        <v>78</v>
      </c>
      <c r="R169" t="s">
        <v>143</v>
      </c>
      <c r="S169" t="s">
        <v>79</v>
      </c>
      <c r="T169">
        <v>43201</v>
      </c>
      <c r="U169" t="s">
        <v>129</v>
      </c>
      <c r="V169">
        <v>51201</v>
      </c>
      <c r="W169" t="s">
        <v>81</v>
      </c>
      <c r="X169">
        <v>240426710</v>
      </c>
      <c r="Y169" t="s">
        <v>74</v>
      </c>
      <c r="Z169">
        <v>0</v>
      </c>
      <c r="AA169" t="s">
        <v>147</v>
      </c>
      <c r="AB169">
        <v>8.1</v>
      </c>
      <c r="AC169">
        <v>-8.1</v>
      </c>
      <c r="AD169">
        <v>5.83</v>
      </c>
      <c r="AE169">
        <v>47.22</v>
      </c>
      <c r="AF169">
        <v>-47.22</v>
      </c>
      <c r="AG169">
        <v>0</v>
      </c>
      <c r="AH169">
        <v>0</v>
      </c>
      <c r="AI169">
        <v>47.22</v>
      </c>
      <c r="AJ169">
        <v>-47.22</v>
      </c>
      <c r="AK169">
        <v>0</v>
      </c>
      <c r="AL169">
        <v>-47.22</v>
      </c>
      <c r="AM169">
        <v>209.88</v>
      </c>
      <c r="AN169">
        <v>0</v>
      </c>
      <c r="AO169">
        <v>0</v>
      </c>
      <c r="AP169">
        <v>0</v>
      </c>
      <c r="AQ169">
        <v>0</v>
      </c>
    </row>
    <row r="170" spans="1:43" x14ac:dyDescent="0.25">
      <c r="A170">
        <v>169</v>
      </c>
      <c r="B170" t="s">
        <v>71</v>
      </c>
      <c r="C170" t="s">
        <v>72</v>
      </c>
      <c r="D170" t="s">
        <v>73</v>
      </c>
      <c r="E170" t="s">
        <v>74</v>
      </c>
      <c r="F170">
        <v>240426710</v>
      </c>
      <c r="G170">
        <v>6581682</v>
      </c>
      <c r="H170" t="s">
        <v>97</v>
      </c>
      <c r="I170" t="s">
        <v>76</v>
      </c>
      <c r="J170" t="s">
        <v>97</v>
      </c>
      <c r="K170" t="s">
        <v>448</v>
      </c>
      <c r="L170" t="s">
        <v>285</v>
      </c>
      <c r="M170" t="s">
        <v>285</v>
      </c>
      <c r="N170" t="s">
        <v>286</v>
      </c>
      <c r="O170" t="s">
        <v>130</v>
      </c>
      <c r="P170" t="s">
        <v>77</v>
      </c>
      <c r="Q170" t="s">
        <v>449</v>
      </c>
      <c r="R170" t="s">
        <v>167</v>
      </c>
      <c r="S170" t="s">
        <v>105</v>
      </c>
      <c r="T170">
        <v>41201</v>
      </c>
      <c r="U170" t="s">
        <v>85</v>
      </c>
      <c r="V170">
        <v>51201</v>
      </c>
      <c r="W170" t="s">
        <v>81</v>
      </c>
      <c r="X170">
        <v>240426710</v>
      </c>
      <c r="Y170" t="s">
        <v>74</v>
      </c>
      <c r="Z170">
        <v>1</v>
      </c>
      <c r="AA170" t="s">
        <v>147</v>
      </c>
      <c r="AB170">
        <v>36</v>
      </c>
      <c r="AC170">
        <v>36</v>
      </c>
      <c r="AD170">
        <v>5.83</v>
      </c>
      <c r="AE170">
        <v>209.88</v>
      </c>
      <c r="AF170">
        <v>209.88</v>
      </c>
      <c r="AG170">
        <v>32.21</v>
      </c>
      <c r="AH170">
        <v>32.21</v>
      </c>
      <c r="AI170">
        <v>177.67</v>
      </c>
      <c r="AJ170">
        <v>177.67</v>
      </c>
      <c r="AK170">
        <v>84.65</v>
      </c>
      <c r="AL170">
        <v>-47.22</v>
      </c>
      <c r="AM170">
        <v>209.88</v>
      </c>
      <c r="AN170">
        <v>-47.22</v>
      </c>
      <c r="AO170">
        <v>130.44999999999999</v>
      </c>
      <c r="AP170">
        <v>130.44999999999999</v>
      </c>
      <c r="AQ170">
        <v>80.197958</v>
      </c>
    </row>
    <row r="171" spans="1:43" x14ac:dyDescent="0.25">
      <c r="A171">
        <v>170</v>
      </c>
      <c r="B171" t="s">
        <v>71</v>
      </c>
      <c r="C171" t="s">
        <v>72</v>
      </c>
      <c r="D171" t="s">
        <v>73</v>
      </c>
      <c r="E171" t="s">
        <v>74</v>
      </c>
      <c r="F171">
        <v>240426769</v>
      </c>
      <c r="G171">
        <v>6581741</v>
      </c>
      <c r="H171" t="s">
        <v>97</v>
      </c>
      <c r="I171" t="s">
        <v>76</v>
      </c>
      <c r="J171" t="s">
        <v>97</v>
      </c>
      <c r="K171" t="s">
        <v>450</v>
      </c>
      <c r="L171" t="s">
        <v>285</v>
      </c>
      <c r="M171" t="s">
        <v>285</v>
      </c>
      <c r="N171" t="s">
        <v>286</v>
      </c>
      <c r="O171" t="s">
        <v>10</v>
      </c>
      <c r="P171" t="s">
        <v>77</v>
      </c>
      <c r="Q171" t="s">
        <v>451</v>
      </c>
      <c r="R171" t="s">
        <v>452</v>
      </c>
      <c r="S171" t="s">
        <v>136</v>
      </c>
      <c r="T171">
        <v>41201</v>
      </c>
      <c r="U171" t="s">
        <v>85</v>
      </c>
      <c r="V171">
        <v>51201</v>
      </c>
      <c r="W171" t="s">
        <v>81</v>
      </c>
      <c r="X171">
        <v>240426769</v>
      </c>
      <c r="Y171" t="s">
        <v>74</v>
      </c>
      <c r="Z171">
        <v>1</v>
      </c>
      <c r="AA171" t="s">
        <v>152</v>
      </c>
      <c r="AB171">
        <v>315.5</v>
      </c>
      <c r="AC171">
        <v>315.5</v>
      </c>
      <c r="AD171">
        <v>1.76</v>
      </c>
      <c r="AE171">
        <v>555.28</v>
      </c>
      <c r="AF171">
        <v>555.28</v>
      </c>
      <c r="AG171">
        <v>220</v>
      </c>
      <c r="AH171">
        <v>220</v>
      </c>
      <c r="AI171">
        <v>335.28</v>
      </c>
      <c r="AJ171">
        <v>335.28</v>
      </c>
      <c r="AK171">
        <v>60.38</v>
      </c>
      <c r="AL171">
        <v>-124.94</v>
      </c>
      <c r="AM171">
        <v>555.28</v>
      </c>
      <c r="AN171">
        <v>-124.94</v>
      </c>
      <c r="AO171">
        <v>210.34</v>
      </c>
      <c r="AP171">
        <v>210.34</v>
      </c>
      <c r="AQ171">
        <v>48.877631000000001</v>
      </c>
    </row>
    <row r="172" spans="1:43" x14ac:dyDescent="0.25">
      <c r="A172">
        <v>171</v>
      </c>
      <c r="B172" t="s">
        <v>71</v>
      </c>
      <c r="C172" t="s">
        <v>72</v>
      </c>
      <c r="D172" t="s">
        <v>73</v>
      </c>
      <c r="E172" t="s">
        <v>74</v>
      </c>
      <c r="F172">
        <v>240426769</v>
      </c>
      <c r="G172">
        <v>6581741</v>
      </c>
      <c r="H172" t="s">
        <v>97</v>
      </c>
      <c r="I172" t="s">
        <v>76</v>
      </c>
      <c r="J172" t="s">
        <v>97</v>
      </c>
      <c r="K172" t="s">
        <v>450</v>
      </c>
      <c r="L172" t="s">
        <v>285</v>
      </c>
      <c r="M172" t="s">
        <v>285</v>
      </c>
      <c r="N172" t="s">
        <v>286</v>
      </c>
      <c r="O172" t="s">
        <v>10</v>
      </c>
      <c r="P172" t="s">
        <v>77</v>
      </c>
      <c r="Q172" t="s">
        <v>78</v>
      </c>
      <c r="R172" t="s">
        <v>143</v>
      </c>
      <c r="S172" t="s">
        <v>79</v>
      </c>
      <c r="T172">
        <v>43201</v>
      </c>
      <c r="U172" t="s">
        <v>129</v>
      </c>
      <c r="V172">
        <v>51201</v>
      </c>
      <c r="W172" t="s">
        <v>81</v>
      </c>
      <c r="X172">
        <v>240426769</v>
      </c>
      <c r="Y172" t="s">
        <v>74</v>
      </c>
      <c r="Z172">
        <v>0</v>
      </c>
      <c r="AA172" t="s">
        <v>152</v>
      </c>
      <c r="AB172">
        <v>70.989999999999995</v>
      </c>
      <c r="AC172">
        <v>-70.989999999999995</v>
      </c>
      <c r="AD172">
        <v>1.76</v>
      </c>
      <c r="AE172">
        <v>124.94</v>
      </c>
      <c r="AF172">
        <v>-124.94</v>
      </c>
      <c r="AG172">
        <v>0</v>
      </c>
      <c r="AH172">
        <v>0</v>
      </c>
      <c r="AI172">
        <v>124.94</v>
      </c>
      <c r="AJ172">
        <v>-124.94</v>
      </c>
      <c r="AK172">
        <v>0</v>
      </c>
      <c r="AL172">
        <v>-124.94</v>
      </c>
      <c r="AM172">
        <v>555.28</v>
      </c>
      <c r="AN172">
        <v>0</v>
      </c>
      <c r="AO172">
        <v>0</v>
      </c>
      <c r="AP172">
        <v>0</v>
      </c>
      <c r="AQ172">
        <v>0</v>
      </c>
    </row>
    <row r="173" spans="1:43" x14ac:dyDescent="0.25">
      <c r="A173">
        <v>172</v>
      </c>
      <c r="B173" t="s">
        <v>71</v>
      </c>
      <c r="C173" t="s">
        <v>72</v>
      </c>
      <c r="D173" t="s">
        <v>73</v>
      </c>
      <c r="E173" t="s">
        <v>74</v>
      </c>
      <c r="F173">
        <v>240426792</v>
      </c>
      <c r="G173">
        <v>6581764</v>
      </c>
      <c r="H173" t="s">
        <v>97</v>
      </c>
      <c r="I173" t="s">
        <v>76</v>
      </c>
      <c r="J173" t="s">
        <v>97</v>
      </c>
      <c r="K173" t="s">
        <v>453</v>
      </c>
      <c r="L173" t="s">
        <v>285</v>
      </c>
      <c r="M173" t="s">
        <v>285</v>
      </c>
      <c r="N173" t="s">
        <v>286</v>
      </c>
      <c r="O173" t="s">
        <v>10</v>
      </c>
      <c r="P173" t="s">
        <v>77</v>
      </c>
      <c r="Q173" t="s">
        <v>94</v>
      </c>
      <c r="R173" t="s">
        <v>95</v>
      </c>
      <c r="S173" t="s">
        <v>96</v>
      </c>
      <c r="T173">
        <v>41201</v>
      </c>
      <c r="U173" t="s">
        <v>85</v>
      </c>
      <c r="V173">
        <v>51201</v>
      </c>
      <c r="W173" t="s">
        <v>81</v>
      </c>
      <c r="X173">
        <v>240426792</v>
      </c>
      <c r="Y173" t="s">
        <v>74</v>
      </c>
      <c r="Z173">
        <v>1</v>
      </c>
      <c r="AA173" t="s">
        <v>152</v>
      </c>
      <c r="AB173">
        <v>183.2</v>
      </c>
      <c r="AC173">
        <v>183.2</v>
      </c>
      <c r="AD173">
        <v>1.76</v>
      </c>
      <c r="AE173">
        <v>322.43</v>
      </c>
      <c r="AF173">
        <v>322.43</v>
      </c>
      <c r="AG173">
        <v>169.71</v>
      </c>
      <c r="AH173">
        <v>169.71</v>
      </c>
      <c r="AI173">
        <v>152.72</v>
      </c>
      <c r="AJ173">
        <v>152.72</v>
      </c>
      <c r="AK173">
        <v>47.37</v>
      </c>
      <c r="AL173">
        <v>0</v>
      </c>
      <c r="AM173">
        <v>322.43</v>
      </c>
      <c r="AN173">
        <v>0</v>
      </c>
      <c r="AO173">
        <v>152.72</v>
      </c>
      <c r="AP173">
        <v>152.72</v>
      </c>
      <c r="AQ173">
        <v>47.365319</v>
      </c>
    </row>
    <row r="174" spans="1:43" x14ac:dyDescent="0.25">
      <c r="A174">
        <v>173</v>
      </c>
      <c r="B174" t="s">
        <v>71</v>
      </c>
      <c r="C174" t="s">
        <v>72</v>
      </c>
      <c r="D174" t="s">
        <v>73</v>
      </c>
      <c r="E174" t="s">
        <v>74</v>
      </c>
      <c r="F174">
        <v>240426962</v>
      </c>
      <c r="G174">
        <v>6581934</v>
      </c>
      <c r="H174" t="s">
        <v>97</v>
      </c>
      <c r="I174" t="s">
        <v>76</v>
      </c>
      <c r="J174" t="s">
        <v>97</v>
      </c>
      <c r="K174" t="s">
        <v>454</v>
      </c>
      <c r="L174" t="s">
        <v>285</v>
      </c>
      <c r="M174" t="s">
        <v>285</v>
      </c>
      <c r="N174" t="s">
        <v>286</v>
      </c>
      <c r="O174" t="s">
        <v>130</v>
      </c>
      <c r="P174" t="s">
        <v>77</v>
      </c>
      <c r="Q174" t="s">
        <v>98</v>
      </c>
      <c r="R174" t="s">
        <v>99</v>
      </c>
      <c r="S174" t="s">
        <v>84</v>
      </c>
      <c r="T174">
        <v>41201</v>
      </c>
      <c r="U174" t="s">
        <v>85</v>
      </c>
      <c r="V174">
        <v>51201</v>
      </c>
      <c r="W174" t="s">
        <v>81</v>
      </c>
      <c r="X174">
        <v>240426962</v>
      </c>
      <c r="Y174" t="s">
        <v>74</v>
      </c>
      <c r="Z174">
        <v>1</v>
      </c>
      <c r="AA174" t="s">
        <v>147</v>
      </c>
      <c r="AB174">
        <v>104</v>
      </c>
      <c r="AC174">
        <v>104</v>
      </c>
      <c r="AD174">
        <v>5.83</v>
      </c>
      <c r="AE174">
        <v>606.32000000000005</v>
      </c>
      <c r="AF174">
        <v>606.32000000000005</v>
      </c>
      <c r="AG174">
        <v>322</v>
      </c>
      <c r="AH174">
        <v>322</v>
      </c>
      <c r="AI174">
        <v>284.32</v>
      </c>
      <c r="AJ174">
        <v>284.32</v>
      </c>
      <c r="AK174">
        <v>46.89</v>
      </c>
      <c r="AL174">
        <v>0</v>
      </c>
      <c r="AM174">
        <v>606.32000000000005</v>
      </c>
      <c r="AN174">
        <v>0</v>
      </c>
      <c r="AO174">
        <v>284.32</v>
      </c>
      <c r="AP174">
        <v>284.32</v>
      </c>
      <c r="AQ174">
        <v>46.892729000000003</v>
      </c>
    </row>
    <row r="175" spans="1:43" x14ac:dyDescent="0.25">
      <c r="A175">
        <v>174</v>
      </c>
      <c r="B175" t="s">
        <v>71</v>
      </c>
      <c r="C175" t="s">
        <v>72</v>
      </c>
      <c r="D175" t="s">
        <v>73</v>
      </c>
      <c r="E175" t="s">
        <v>74</v>
      </c>
      <c r="F175">
        <v>240427118</v>
      </c>
      <c r="G175">
        <v>6582099</v>
      </c>
      <c r="H175" t="s">
        <v>100</v>
      </c>
      <c r="I175" t="s">
        <v>76</v>
      </c>
      <c r="J175" t="s">
        <v>100</v>
      </c>
      <c r="K175" t="s">
        <v>455</v>
      </c>
      <c r="L175" t="s">
        <v>285</v>
      </c>
      <c r="M175" t="s">
        <v>285</v>
      </c>
      <c r="N175" t="s">
        <v>286</v>
      </c>
      <c r="O175" t="s">
        <v>132</v>
      </c>
      <c r="P175" t="s">
        <v>77</v>
      </c>
      <c r="Q175" t="s">
        <v>456</v>
      </c>
      <c r="R175" t="s">
        <v>457</v>
      </c>
      <c r="S175" t="s">
        <v>96</v>
      </c>
      <c r="T175">
        <v>41201</v>
      </c>
      <c r="U175" t="s">
        <v>85</v>
      </c>
      <c r="V175">
        <v>51201</v>
      </c>
      <c r="W175" t="s">
        <v>81</v>
      </c>
      <c r="X175">
        <v>240427118</v>
      </c>
      <c r="Y175" t="s">
        <v>74</v>
      </c>
      <c r="Z175">
        <v>1</v>
      </c>
      <c r="AA175" t="s">
        <v>123</v>
      </c>
      <c r="AB175">
        <v>590</v>
      </c>
      <c r="AC175">
        <v>0</v>
      </c>
      <c r="AD175">
        <v>0</v>
      </c>
      <c r="AE175">
        <v>590</v>
      </c>
      <c r="AF175">
        <v>590</v>
      </c>
      <c r="AG175">
        <v>223.29</v>
      </c>
      <c r="AH175">
        <v>223.29</v>
      </c>
      <c r="AI175">
        <v>366.71</v>
      </c>
      <c r="AJ175">
        <v>366.71</v>
      </c>
      <c r="AK175">
        <v>62.15</v>
      </c>
      <c r="AL175">
        <v>-159.30000000000001</v>
      </c>
      <c r="AM175">
        <v>590</v>
      </c>
      <c r="AN175">
        <v>-159.30000000000001</v>
      </c>
      <c r="AO175">
        <v>207.41</v>
      </c>
      <c r="AP175">
        <v>207.41</v>
      </c>
      <c r="AQ175">
        <v>48.156489000000001</v>
      </c>
    </row>
    <row r="176" spans="1:43" x14ac:dyDescent="0.25">
      <c r="A176">
        <v>175</v>
      </c>
      <c r="B176" t="s">
        <v>71</v>
      </c>
      <c r="C176" t="s">
        <v>72</v>
      </c>
      <c r="D176" t="s">
        <v>73</v>
      </c>
      <c r="E176" t="s">
        <v>74</v>
      </c>
      <c r="F176">
        <v>240427118</v>
      </c>
      <c r="G176">
        <v>6582099</v>
      </c>
      <c r="H176" t="s">
        <v>100</v>
      </c>
      <c r="I176" t="s">
        <v>76</v>
      </c>
      <c r="J176" t="s">
        <v>100</v>
      </c>
      <c r="K176" t="s">
        <v>455</v>
      </c>
      <c r="L176" t="s">
        <v>285</v>
      </c>
      <c r="M176" t="s">
        <v>285</v>
      </c>
      <c r="N176" t="s">
        <v>286</v>
      </c>
      <c r="O176" t="s">
        <v>132</v>
      </c>
      <c r="P176" t="s">
        <v>77</v>
      </c>
      <c r="Q176" t="s">
        <v>78</v>
      </c>
      <c r="R176" t="s">
        <v>143</v>
      </c>
      <c r="S176" t="s">
        <v>79</v>
      </c>
      <c r="T176">
        <v>43201</v>
      </c>
      <c r="U176" t="s">
        <v>129</v>
      </c>
      <c r="V176">
        <v>51201</v>
      </c>
      <c r="W176" t="s">
        <v>81</v>
      </c>
      <c r="X176">
        <v>240427118</v>
      </c>
      <c r="Y176" t="s">
        <v>74</v>
      </c>
      <c r="Z176">
        <v>0</v>
      </c>
      <c r="AA176" t="s">
        <v>123</v>
      </c>
      <c r="AB176">
        <v>159.30000000000001</v>
      </c>
      <c r="AC176">
        <v>0</v>
      </c>
      <c r="AD176">
        <v>0</v>
      </c>
      <c r="AE176">
        <v>159.30000000000001</v>
      </c>
      <c r="AF176">
        <v>-159.30000000000001</v>
      </c>
      <c r="AG176">
        <v>0</v>
      </c>
      <c r="AH176">
        <v>0</v>
      </c>
      <c r="AI176">
        <v>159.30000000000001</v>
      </c>
      <c r="AJ176">
        <v>-159.30000000000001</v>
      </c>
      <c r="AK176">
        <v>0</v>
      </c>
      <c r="AL176">
        <v>-159.30000000000001</v>
      </c>
      <c r="AM176">
        <v>590</v>
      </c>
      <c r="AN176">
        <v>0</v>
      </c>
      <c r="AO176">
        <v>0</v>
      </c>
      <c r="AP176">
        <v>0</v>
      </c>
      <c r="AQ176">
        <v>0</v>
      </c>
    </row>
    <row r="177" spans="1:43" x14ac:dyDescent="0.25">
      <c r="A177">
        <v>176</v>
      </c>
      <c r="B177" t="s">
        <v>71</v>
      </c>
      <c r="C177" t="s">
        <v>72</v>
      </c>
      <c r="D177" t="s">
        <v>73</v>
      </c>
      <c r="E177" t="s">
        <v>74</v>
      </c>
      <c r="F177">
        <v>240427182</v>
      </c>
      <c r="G177">
        <v>6582165</v>
      </c>
      <c r="H177" t="s">
        <v>100</v>
      </c>
      <c r="I177" t="s">
        <v>76</v>
      </c>
      <c r="J177" t="s">
        <v>100</v>
      </c>
      <c r="K177" t="s">
        <v>458</v>
      </c>
      <c r="L177" t="s">
        <v>285</v>
      </c>
      <c r="M177" t="s">
        <v>285</v>
      </c>
      <c r="N177" t="s">
        <v>286</v>
      </c>
      <c r="O177" t="s">
        <v>10</v>
      </c>
      <c r="P177" t="s">
        <v>77</v>
      </c>
      <c r="Q177" t="s">
        <v>258</v>
      </c>
      <c r="R177" t="s">
        <v>259</v>
      </c>
      <c r="S177" t="s">
        <v>84</v>
      </c>
      <c r="T177">
        <v>41201</v>
      </c>
      <c r="U177" t="s">
        <v>85</v>
      </c>
      <c r="V177">
        <v>51201</v>
      </c>
      <c r="W177" t="s">
        <v>81</v>
      </c>
      <c r="X177">
        <v>240427182</v>
      </c>
      <c r="Y177" t="s">
        <v>74</v>
      </c>
      <c r="Z177">
        <v>1</v>
      </c>
      <c r="AA177" t="s">
        <v>152</v>
      </c>
      <c r="AB177">
        <v>347.4</v>
      </c>
      <c r="AC177">
        <v>347.4</v>
      </c>
      <c r="AD177">
        <v>1.76</v>
      </c>
      <c r="AE177">
        <v>611.41999999999996</v>
      </c>
      <c r="AF177">
        <v>611.41999999999996</v>
      </c>
      <c r="AG177">
        <v>305</v>
      </c>
      <c r="AH177">
        <v>305</v>
      </c>
      <c r="AI177">
        <v>306.42</v>
      </c>
      <c r="AJ177">
        <v>306.42</v>
      </c>
      <c r="AK177">
        <v>50.12</v>
      </c>
      <c r="AL177">
        <v>-110.05</v>
      </c>
      <c r="AM177">
        <v>611.41999999999996</v>
      </c>
      <c r="AN177">
        <v>-110.05</v>
      </c>
      <c r="AO177">
        <v>196.37</v>
      </c>
      <c r="AP177">
        <v>196.37</v>
      </c>
      <c r="AQ177">
        <v>39.166682999999999</v>
      </c>
    </row>
    <row r="178" spans="1:43" x14ac:dyDescent="0.25">
      <c r="A178">
        <v>177</v>
      </c>
      <c r="B178" t="s">
        <v>71</v>
      </c>
      <c r="C178" t="s">
        <v>72</v>
      </c>
      <c r="D178" t="s">
        <v>73</v>
      </c>
      <c r="E178" t="s">
        <v>74</v>
      </c>
      <c r="F178">
        <v>240427182</v>
      </c>
      <c r="G178">
        <v>6582165</v>
      </c>
      <c r="H178" t="s">
        <v>100</v>
      </c>
      <c r="I178" t="s">
        <v>76</v>
      </c>
      <c r="J178" t="s">
        <v>100</v>
      </c>
      <c r="K178" t="s">
        <v>458</v>
      </c>
      <c r="L178" t="s">
        <v>285</v>
      </c>
      <c r="M178" t="s">
        <v>285</v>
      </c>
      <c r="N178" t="s">
        <v>286</v>
      </c>
      <c r="O178" t="s">
        <v>10</v>
      </c>
      <c r="P178" t="s">
        <v>77</v>
      </c>
      <c r="Q178" t="s">
        <v>78</v>
      </c>
      <c r="R178" t="s">
        <v>143</v>
      </c>
      <c r="S178" t="s">
        <v>79</v>
      </c>
      <c r="T178">
        <v>43201</v>
      </c>
      <c r="U178" t="s">
        <v>129</v>
      </c>
      <c r="V178">
        <v>51201</v>
      </c>
      <c r="W178" t="s">
        <v>81</v>
      </c>
      <c r="X178">
        <v>240427182</v>
      </c>
      <c r="Y178" t="s">
        <v>74</v>
      </c>
      <c r="Z178">
        <v>0</v>
      </c>
      <c r="AA178" t="s">
        <v>152</v>
      </c>
      <c r="AB178">
        <v>62.53</v>
      </c>
      <c r="AC178">
        <v>-62.53</v>
      </c>
      <c r="AD178">
        <v>1.76</v>
      </c>
      <c r="AE178">
        <v>110.05</v>
      </c>
      <c r="AF178">
        <v>-110.05</v>
      </c>
      <c r="AG178">
        <v>0</v>
      </c>
      <c r="AH178">
        <v>0</v>
      </c>
      <c r="AI178">
        <v>110.05</v>
      </c>
      <c r="AJ178">
        <v>-110.05</v>
      </c>
      <c r="AK178">
        <v>0</v>
      </c>
      <c r="AL178">
        <v>-110.05</v>
      </c>
      <c r="AM178">
        <v>611.41999999999996</v>
      </c>
      <c r="AN178">
        <v>0</v>
      </c>
      <c r="AO178">
        <v>0</v>
      </c>
      <c r="AP178">
        <v>0</v>
      </c>
      <c r="AQ178">
        <v>0</v>
      </c>
    </row>
    <row r="179" spans="1:43" x14ac:dyDescent="0.25">
      <c r="A179">
        <v>178</v>
      </c>
      <c r="B179" t="s">
        <v>71</v>
      </c>
      <c r="C179" t="s">
        <v>72</v>
      </c>
      <c r="D179" t="s">
        <v>73</v>
      </c>
      <c r="E179" t="s">
        <v>74</v>
      </c>
      <c r="F179">
        <v>240427246</v>
      </c>
      <c r="G179">
        <v>6582229</v>
      </c>
      <c r="H179" t="s">
        <v>100</v>
      </c>
      <c r="I179" t="s">
        <v>76</v>
      </c>
      <c r="J179" t="s">
        <v>100</v>
      </c>
      <c r="K179" t="s">
        <v>459</v>
      </c>
      <c r="L179" t="s">
        <v>285</v>
      </c>
      <c r="M179" t="s">
        <v>285</v>
      </c>
      <c r="N179" t="s">
        <v>286</v>
      </c>
      <c r="O179" t="s">
        <v>10</v>
      </c>
      <c r="P179" t="s">
        <v>77</v>
      </c>
      <c r="Q179" t="s">
        <v>274</v>
      </c>
      <c r="R179" t="s">
        <v>275</v>
      </c>
      <c r="S179" t="s">
        <v>136</v>
      </c>
      <c r="T179">
        <v>41201</v>
      </c>
      <c r="U179" t="s">
        <v>85</v>
      </c>
      <c r="V179">
        <v>51201</v>
      </c>
      <c r="W179" t="s">
        <v>81</v>
      </c>
      <c r="X179">
        <v>240427246</v>
      </c>
      <c r="Y179" t="s">
        <v>74</v>
      </c>
      <c r="Z179">
        <v>1</v>
      </c>
      <c r="AA179" t="s">
        <v>152</v>
      </c>
      <c r="AB179">
        <v>154.4</v>
      </c>
      <c r="AC179">
        <v>154.4</v>
      </c>
      <c r="AD179">
        <v>1.76</v>
      </c>
      <c r="AE179">
        <v>271.74</v>
      </c>
      <c r="AF179">
        <v>271.74</v>
      </c>
      <c r="AG179">
        <v>125.28</v>
      </c>
      <c r="AH179">
        <v>125.28</v>
      </c>
      <c r="AI179">
        <v>146.46</v>
      </c>
      <c r="AJ179">
        <v>146.46</v>
      </c>
      <c r="AK179">
        <v>53.9</v>
      </c>
      <c r="AL179">
        <v>-48.91</v>
      </c>
      <c r="AM179">
        <v>271.74</v>
      </c>
      <c r="AN179">
        <v>-48.91</v>
      </c>
      <c r="AO179">
        <v>97.55</v>
      </c>
      <c r="AP179">
        <v>97.55</v>
      </c>
      <c r="AQ179">
        <v>43.777766999999997</v>
      </c>
    </row>
    <row r="180" spans="1:43" x14ac:dyDescent="0.25">
      <c r="A180">
        <v>179</v>
      </c>
      <c r="B180" t="s">
        <v>71</v>
      </c>
      <c r="C180" t="s">
        <v>72</v>
      </c>
      <c r="D180" t="s">
        <v>73</v>
      </c>
      <c r="E180" t="s">
        <v>74</v>
      </c>
      <c r="F180">
        <v>240427246</v>
      </c>
      <c r="G180">
        <v>6582229</v>
      </c>
      <c r="H180" t="s">
        <v>100</v>
      </c>
      <c r="I180" t="s">
        <v>76</v>
      </c>
      <c r="J180" t="s">
        <v>100</v>
      </c>
      <c r="K180" t="s">
        <v>459</v>
      </c>
      <c r="L180" t="s">
        <v>285</v>
      </c>
      <c r="M180" t="s">
        <v>285</v>
      </c>
      <c r="N180" t="s">
        <v>286</v>
      </c>
      <c r="O180" t="s">
        <v>10</v>
      </c>
      <c r="P180" t="s">
        <v>77</v>
      </c>
      <c r="Q180" t="s">
        <v>78</v>
      </c>
      <c r="R180" t="s">
        <v>143</v>
      </c>
      <c r="S180" t="s">
        <v>79</v>
      </c>
      <c r="T180">
        <v>43201</v>
      </c>
      <c r="U180" t="s">
        <v>129</v>
      </c>
      <c r="V180">
        <v>51201</v>
      </c>
      <c r="W180" t="s">
        <v>81</v>
      </c>
      <c r="X180">
        <v>240427246</v>
      </c>
      <c r="Y180" t="s">
        <v>74</v>
      </c>
      <c r="Z180">
        <v>0</v>
      </c>
      <c r="AA180" t="s">
        <v>152</v>
      </c>
      <c r="AB180">
        <v>27.79</v>
      </c>
      <c r="AC180">
        <v>-27.79</v>
      </c>
      <c r="AD180">
        <v>1.76</v>
      </c>
      <c r="AE180">
        <v>48.91</v>
      </c>
      <c r="AF180">
        <v>-48.91</v>
      </c>
      <c r="AG180">
        <v>0</v>
      </c>
      <c r="AH180">
        <v>0</v>
      </c>
      <c r="AI180">
        <v>48.91</v>
      </c>
      <c r="AJ180">
        <v>-48.91</v>
      </c>
      <c r="AK180">
        <v>0</v>
      </c>
      <c r="AL180">
        <v>-48.91</v>
      </c>
      <c r="AM180">
        <v>271.74</v>
      </c>
      <c r="AN180">
        <v>0</v>
      </c>
      <c r="AO180">
        <v>0</v>
      </c>
      <c r="AP180">
        <v>0</v>
      </c>
      <c r="AQ180">
        <v>0</v>
      </c>
    </row>
    <row r="181" spans="1:43" x14ac:dyDescent="0.25">
      <c r="A181">
        <v>180</v>
      </c>
      <c r="B181" t="s">
        <v>71</v>
      </c>
      <c r="C181" t="s">
        <v>72</v>
      </c>
      <c r="D181" t="s">
        <v>73</v>
      </c>
      <c r="E181" t="s">
        <v>74</v>
      </c>
      <c r="F181">
        <v>240427294</v>
      </c>
      <c r="G181">
        <v>6582277</v>
      </c>
      <c r="H181" t="s">
        <v>100</v>
      </c>
      <c r="I181" t="s">
        <v>76</v>
      </c>
      <c r="J181" t="s">
        <v>100</v>
      </c>
      <c r="K181" t="s">
        <v>460</v>
      </c>
      <c r="L181" t="s">
        <v>285</v>
      </c>
      <c r="M181" t="s">
        <v>285</v>
      </c>
      <c r="N181" t="s">
        <v>286</v>
      </c>
      <c r="O181" t="s">
        <v>10</v>
      </c>
      <c r="P181" t="s">
        <v>77</v>
      </c>
      <c r="Q181" t="s">
        <v>331</v>
      </c>
      <c r="R181" t="s">
        <v>332</v>
      </c>
      <c r="S181" t="s">
        <v>84</v>
      </c>
      <c r="T181">
        <v>41201</v>
      </c>
      <c r="U181" t="s">
        <v>85</v>
      </c>
      <c r="V181">
        <v>51201</v>
      </c>
      <c r="W181" t="s">
        <v>81</v>
      </c>
      <c r="X181">
        <v>240427294</v>
      </c>
      <c r="Y181" t="s">
        <v>74</v>
      </c>
      <c r="Z181">
        <v>1</v>
      </c>
      <c r="AA181" t="s">
        <v>152</v>
      </c>
      <c r="AB181">
        <v>203</v>
      </c>
      <c r="AC181">
        <v>203</v>
      </c>
      <c r="AD181">
        <v>1.76</v>
      </c>
      <c r="AE181">
        <v>357.28</v>
      </c>
      <c r="AF181">
        <v>357.28</v>
      </c>
      <c r="AG181">
        <v>150</v>
      </c>
      <c r="AH181">
        <v>150</v>
      </c>
      <c r="AI181">
        <v>207.28</v>
      </c>
      <c r="AJ181">
        <v>207.28</v>
      </c>
      <c r="AK181">
        <v>58.02</v>
      </c>
      <c r="AL181">
        <v>-64.31</v>
      </c>
      <c r="AM181">
        <v>357.28</v>
      </c>
      <c r="AN181">
        <v>-64.31</v>
      </c>
      <c r="AO181">
        <v>142.97</v>
      </c>
      <c r="AP181">
        <v>142.97</v>
      </c>
      <c r="AQ181">
        <v>48.800218000000001</v>
      </c>
    </row>
    <row r="182" spans="1:43" x14ac:dyDescent="0.25">
      <c r="A182">
        <v>181</v>
      </c>
      <c r="B182" t="s">
        <v>71</v>
      </c>
      <c r="C182" t="s">
        <v>72</v>
      </c>
      <c r="D182" t="s">
        <v>73</v>
      </c>
      <c r="E182" t="s">
        <v>74</v>
      </c>
      <c r="F182">
        <v>240427294</v>
      </c>
      <c r="G182">
        <v>6582277</v>
      </c>
      <c r="H182" t="s">
        <v>100</v>
      </c>
      <c r="I182" t="s">
        <v>76</v>
      </c>
      <c r="J182" t="s">
        <v>100</v>
      </c>
      <c r="K182" t="s">
        <v>460</v>
      </c>
      <c r="L182" t="s">
        <v>285</v>
      </c>
      <c r="M182" t="s">
        <v>285</v>
      </c>
      <c r="N182" t="s">
        <v>286</v>
      </c>
      <c r="O182" t="s">
        <v>10</v>
      </c>
      <c r="P182" t="s">
        <v>77</v>
      </c>
      <c r="Q182" t="s">
        <v>78</v>
      </c>
      <c r="R182" t="s">
        <v>143</v>
      </c>
      <c r="S182" t="s">
        <v>79</v>
      </c>
      <c r="T182">
        <v>43201</v>
      </c>
      <c r="U182" t="s">
        <v>129</v>
      </c>
      <c r="V182">
        <v>51201</v>
      </c>
      <c r="W182" t="s">
        <v>81</v>
      </c>
      <c r="X182">
        <v>240427294</v>
      </c>
      <c r="Y182" t="s">
        <v>74</v>
      </c>
      <c r="Z182">
        <v>0</v>
      </c>
      <c r="AA182" t="s">
        <v>152</v>
      </c>
      <c r="AB182">
        <v>36.54</v>
      </c>
      <c r="AC182">
        <v>-36.54</v>
      </c>
      <c r="AD182">
        <v>1.76</v>
      </c>
      <c r="AE182">
        <v>64.31</v>
      </c>
      <c r="AF182">
        <v>-64.31</v>
      </c>
      <c r="AG182">
        <v>0</v>
      </c>
      <c r="AH182">
        <v>0</v>
      </c>
      <c r="AI182">
        <v>64.31</v>
      </c>
      <c r="AJ182">
        <v>-64.31</v>
      </c>
      <c r="AK182">
        <v>0</v>
      </c>
      <c r="AL182">
        <v>-64.31</v>
      </c>
      <c r="AM182">
        <v>357.28</v>
      </c>
      <c r="AN182">
        <v>0</v>
      </c>
      <c r="AO182">
        <v>0</v>
      </c>
      <c r="AP182">
        <v>0</v>
      </c>
      <c r="AQ182">
        <v>0</v>
      </c>
    </row>
    <row r="183" spans="1:43" x14ac:dyDescent="0.25">
      <c r="A183">
        <v>182</v>
      </c>
      <c r="B183" t="s">
        <v>71</v>
      </c>
      <c r="C183" t="s">
        <v>72</v>
      </c>
      <c r="D183" t="s">
        <v>73</v>
      </c>
      <c r="E183" t="s">
        <v>74</v>
      </c>
      <c r="F183">
        <v>240427548</v>
      </c>
      <c r="G183">
        <v>6582531</v>
      </c>
      <c r="H183" t="s">
        <v>100</v>
      </c>
      <c r="I183" t="s">
        <v>76</v>
      </c>
      <c r="J183" t="s">
        <v>100</v>
      </c>
      <c r="K183" t="s">
        <v>461</v>
      </c>
      <c r="L183" t="s">
        <v>285</v>
      </c>
      <c r="M183" t="s">
        <v>285</v>
      </c>
      <c r="N183" t="s">
        <v>286</v>
      </c>
      <c r="O183" t="s">
        <v>10</v>
      </c>
      <c r="P183" t="s">
        <v>77</v>
      </c>
      <c r="Q183" t="s">
        <v>462</v>
      </c>
      <c r="R183" t="s">
        <v>463</v>
      </c>
      <c r="S183" t="s">
        <v>137</v>
      </c>
      <c r="T183">
        <v>41201</v>
      </c>
      <c r="U183" t="s">
        <v>85</v>
      </c>
      <c r="V183">
        <v>51201</v>
      </c>
      <c r="W183" t="s">
        <v>81</v>
      </c>
      <c r="X183">
        <v>240427548</v>
      </c>
      <c r="Y183" t="s">
        <v>74</v>
      </c>
      <c r="Z183">
        <v>1</v>
      </c>
      <c r="AA183" t="s">
        <v>152</v>
      </c>
      <c r="AB183">
        <v>138.9</v>
      </c>
      <c r="AC183">
        <v>138.9</v>
      </c>
      <c r="AD183">
        <v>1.76</v>
      </c>
      <c r="AE183">
        <v>244.46</v>
      </c>
      <c r="AF183">
        <v>244.46</v>
      </c>
      <c r="AG183">
        <v>95</v>
      </c>
      <c r="AH183">
        <v>95</v>
      </c>
      <c r="AI183">
        <v>149.46</v>
      </c>
      <c r="AJ183">
        <v>149.46</v>
      </c>
      <c r="AK183">
        <v>61.14</v>
      </c>
      <c r="AL183">
        <v>-44</v>
      </c>
      <c r="AM183">
        <v>244.46</v>
      </c>
      <c r="AN183">
        <v>-44</v>
      </c>
      <c r="AO183">
        <v>105.46</v>
      </c>
      <c r="AP183">
        <v>105.46</v>
      </c>
      <c r="AQ183">
        <v>52.608998999999997</v>
      </c>
    </row>
    <row r="184" spans="1:43" x14ac:dyDescent="0.25">
      <c r="A184">
        <v>183</v>
      </c>
      <c r="B184" t="s">
        <v>71</v>
      </c>
      <c r="C184" t="s">
        <v>72</v>
      </c>
      <c r="D184" t="s">
        <v>73</v>
      </c>
      <c r="E184" t="s">
        <v>74</v>
      </c>
      <c r="F184">
        <v>240427548</v>
      </c>
      <c r="G184">
        <v>6582531</v>
      </c>
      <c r="H184" t="s">
        <v>100</v>
      </c>
      <c r="I184" t="s">
        <v>76</v>
      </c>
      <c r="J184" t="s">
        <v>100</v>
      </c>
      <c r="K184" t="s">
        <v>461</v>
      </c>
      <c r="L184" t="s">
        <v>285</v>
      </c>
      <c r="M184" t="s">
        <v>285</v>
      </c>
      <c r="N184" t="s">
        <v>286</v>
      </c>
      <c r="O184" t="s">
        <v>10</v>
      </c>
      <c r="P184" t="s">
        <v>77</v>
      </c>
      <c r="Q184" t="s">
        <v>78</v>
      </c>
      <c r="R184" t="s">
        <v>143</v>
      </c>
      <c r="S184" t="s">
        <v>79</v>
      </c>
      <c r="T184">
        <v>43201</v>
      </c>
      <c r="U184" t="s">
        <v>129</v>
      </c>
      <c r="V184">
        <v>51201</v>
      </c>
      <c r="W184" t="s">
        <v>81</v>
      </c>
      <c r="X184">
        <v>240427548</v>
      </c>
      <c r="Y184" t="s">
        <v>74</v>
      </c>
      <c r="Z184">
        <v>0</v>
      </c>
      <c r="AA184" t="s">
        <v>152</v>
      </c>
      <c r="AB184">
        <v>25</v>
      </c>
      <c r="AC184">
        <v>-25</v>
      </c>
      <c r="AD184">
        <v>1.76</v>
      </c>
      <c r="AE184">
        <v>44</v>
      </c>
      <c r="AF184">
        <v>-44</v>
      </c>
      <c r="AG184">
        <v>0</v>
      </c>
      <c r="AH184">
        <v>0</v>
      </c>
      <c r="AI184">
        <v>44</v>
      </c>
      <c r="AJ184">
        <v>-44</v>
      </c>
      <c r="AK184">
        <v>0</v>
      </c>
      <c r="AL184">
        <v>-44</v>
      </c>
      <c r="AM184">
        <v>244.46</v>
      </c>
      <c r="AN184">
        <v>0</v>
      </c>
      <c r="AO184">
        <v>0</v>
      </c>
      <c r="AP184">
        <v>0</v>
      </c>
      <c r="AQ184">
        <v>0</v>
      </c>
    </row>
    <row r="185" spans="1:43" x14ac:dyDescent="0.25">
      <c r="A185">
        <v>184</v>
      </c>
      <c r="B185" t="s">
        <v>71</v>
      </c>
      <c r="C185" t="s">
        <v>72</v>
      </c>
      <c r="D185" t="s">
        <v>73</v>
      </c>
      <c r="E185" t="s">
        <v>74</v>
      </c>
      <c r="F185">
        <v>240427549</v>
      </c>
      <c r="G185">
        <v>6582532</v>
      </c>
      <c r="H185" t="s">
        <v>100</v>
      </c>
      <c r="I185" t="s">
        <v>76</v>
      </c>
      <c r="J185" t="s">
        <v>100</v>
      </c>
      <c r="K185" t="s">
        <v>464</v>
      </c>
      <c r="L185" t="s">
        <v>285</v>
      </c>
      <c r="M185" t="s">
        <v>285</v>
      </c>
      <c r="N185" t="s">
        <v>286</v>
      </c>
      <c r="O185" t="s">
        <v>132</v>
      </c>
      <c r="P185" t="s">
        <v>77</v>
      </c>
      <c r="Q185" t="s">
        <v>78</v>
      </c>
      <c r="R185" t="s">
        <v>143</v>
      </c>
      <c r="S185" t="s">
        <v>79</v>
      </c>
      <c r="T185">
        <v>43201</v>
      </c>
      <c r="U185" t="s">
        <v>129</v>
      </c>
      <c r="V185">
        <v>51201</v>
      </c>
      <c r="W185" t="s">
        <v>81</v>
      </c>
      <c r="X185">
        <v>240427549</v>
      </c>
      <c r="Y185" t="s">
        <v>74</v>
      </c>
      <c r="Z185">
        <v>0</v>
      </c>
      <c r="AA185" t="s">
        <v>123</v>
      </c>
      <c r="AB185">
        <v>98.55</v>
      </c>
      <c r="AC185">
        <v>0</v>
      </c>
      <c r="AD185">
        <v>0</v>
      </c>
      <c r="AE185">
        <v>98.55</v>
      </c>
      <c r="AF185">
        <v>-98.55</v>
      </c>
      <c r="AG185">
        <v>0</v>
      </c>
      <c r="AH185">
        <v>0</v>
      </c>
      <c r="AI185">
        <v>98.55</v>
      </c>
      <c r="AJ185">
        <v>-98.55</v>
      </c>
      <c r="AK185">
        <v>0</v>
      </c>
      <c r="AL185">
        <v>-98.55</v>
      </c>
      <c r="AM185">
        <v>365</v>
      </c>
      <c r="AN185">
        <v>0</v>
      </c>
      <c r="AO185">
        <v>0</v>
      </c>
      <c r="AP185">
        <v>0</v>
      </c>
      <c r="AQ185">
        <v>0</v>
      </c>
    </row>
    <row r="186" spans="1:43" x14ac:dyDescent="0.25">
      <c r="A186">
        <v>185</v>
      </c>
      <c r="B186" t="s">
        <v>71</v>
      </c>
      <c r="C186" t="s">
        <v>72</v>
      </c>
      <c r="D186" t="s">
        <v>73</v>
      </c>
      <c r="E186" t="s">
        <v>74</v>
      </c>
      <c r="F186">
        <v>240427549</v>
      </c>
      <c r="G186">
        <v>6582532</v>
      </c>
      <c r="H186" t="s">
        <v>100</v>
      </c>
      <c r="I186" t="s">
        <v>76</v>
      </c>
      <c r="J186" t="s">
        <v>100</v>
      </c>
      <c r="K186" t="s">
        <v>464</v>
      </c>
      <c r="L186" t="s">
        <v>285</v>
      </c>
      <c r="M186" t="s">
        <v>285</v>
      </c>
      <c r="N186" t="s">
        <v>286</v>
      </c>
      <c r="O186" t="s">
        <v>132</v>
      </c>
      <c r="P186" t="s">
        <v>77</v>
      </c>
      <c r="Q186" t="s">
        <v>465</v>
      </c>
      <c r="R186" t="s">
        <v>466</v>
      </c>
      <c r="S186" t="s">
        <v>84</v>
      </c>
      <c r="T186">
        <v>41201</v>
      </c>
      <c r="U186" t="s">
        <v>85</v>
      </c>
      <c r="V186">
        <v>51201</v>
      </c>
      <c r="W186" t="s">
        <v>81</v>
      </c>
      <c r="X186">
        <v>240427549</v>
      </c>
      <c r="Y186" t="s">
        <v>74</v>
      </c>
      <c r="Z186">
        <v>1</v>
      </c>
      <c r="AA186" t="s">
        <v>123</v>
      </c>
      <c r="AB186">
        <v>365</v>
      </c>
      <c r="AC186">
        <v>0</v>
      </c>
      <c r="AD186">
        <v>0</v>
      </c>
      <c r="AE186">
        <v>365</v>
      </c>
      <c r="AF186">
        <v>365</v>
      </c>
      <c r="AG186">
        <v>139</v>
      </c>
      <c r="AH186">
        <v>139</v>
      </c>
      <c r="AI186">
        <v>226</v>
      </c>
      <c r="AJ186">
        <v>226</v>
      </c>
      <c r="AK186">
        <v>61.92</v>
      </c>
      <c r="AL186">
        <v>-98.55</v>
      </c>
      <c r="AM186">
        <v>365</v>
      </c>
      <c r="AN186">
        <v>-98.55</v>
      </c>
      <c r="AO186">
        <v>127.45</v>
      </c>
      <c r="AP186">
        <v>127.45</v>
      </c>
      <c r="AQ186">
        <v>47.832613000000002</v>
      </c>
    </row>
    <row r="187" spans="1:43" x14ac:dyDescent="0.25">
      <c r="A187">
        <v>186</v>
      </c>
      <c r="B187" t="s">
        <v>71</v>
      </c>
      <c r="C187" t="s">
        <v>72</v>
      </c>
      <c r="D187" t="s">
        <v>73</v>
      </c>
      <c r="E187" t="s">
        <v>74</v>
      </c>
      <c r="F187">
        <v>240427607</v>
      </c>
      <c r="G187">
        <v>6582590</v>
      </c>
      <c r="H187" t="s">
        <v>100</v>
      </c>
      <c r="I187" t="s">
        <v>76</v>
      </c>
      <c r="J187" t="s">
        <v>100</v>
      </c>
      <c r="K187" t="s">
        <v>467</v>
      </c>
      <c r="L187" t="s">
        <v>285</v>
      </c>
      <c r="M187" t="s">
        <v>285</v>
      </c>
      <c r="N187" t="s">
        <v>286</v>
      </c>
      <c r="O187" t="s">
        <v>130</v>
      </c>
      <c r="P187" t="s">
        <v>77</v>
      </c>
      <c r="Q187" t="s">
        <v>176</v>
      </c>
      <c r="R187" t="s">
        <v>177</v>
      </c>
      <c r="S187" t="s">
        <v>84</v>
      </c>
      <c r="T187">
        <v>41201</v>
      </c>
      <c r="U187" t="s">
        <v>85</v>
      </c>
      <c r="V187">
        <v>51201</v>
      </c>
      <c r="W187" t="s">
        <v>81</v>
      </c>
      <c r="X187">
        <v>240427607</v>
      </c>
      <c r="Y187" t="s">
        <v>74</v>
      </c>
      <c r="Z187">
        <v>1</v>
      </c>
      <c r="AA187" t="s">
        <v>147</v>
      </c>
      <c r="AB187">
        <v>54</v>
      </c>
      <c r="AC187">
        <v>54</v>
      </c>
      <c r="AD187">
        <v>5.83</v>
      </c>
      <c r="AE187">
        <v>314.82</v>
      </c>
      <c r="AF187">
        <v>314.82</v>
      </c>
      <c r="AG187">
        <v>136.53</v>
      </c>
      <c r="AH187">
        <v>136.53</v>
      </c>
      <c r="AI187">
        <v>178.29</v>
      </c>
      <c r="AJ187">
        <v>178.29</v>
      </c>
      <c r="AK187">
        <v>56.63</v>
      </c>
      <c r="AL187">
        <v>0</v>
      </c>
      <c r="AM187">
        <v>314.82</v>
      </c>
      <c r="AN187">
        <v>0</v>
      </c>
      <c r="AO187">
        <v>178.29</v>
      </c>
      <c r="AP187">
        <v>178.29</v>
      </c>
      <c r="AQ187">
        <v>56.632361000000003</v>
      </c>
    </row>
    <row r="188" spans="1:43" x14ac:dyDescent="0.25">
      <c r="A188">
        <v>187</v>
      </c>
      <c r="B188" t="s">
        <v>71</v>
      </c>
      <c r="C188" t="s">
        <v>72</v>
      </c>
      <c r="D188" t="s">
        <v>73</v>
      </c>
      <c r="E188" t="s">
        <v>74</v>
      </c>
      <c r="F188">
        <v>240427803</v>
      </c>
      <c r="G188">
        <v>6582786</v>
      </c>
      <c r="H188" t="s">
        <v>100</v>
      </c>
      <c r="I188" t="s">
        <v>76</v>
      </c>
      <c r="J188" t="s">
        <v>100</v>
      </c>
      <c r="K188" t="s">
        <v>468</v>
      </c>
      <c r="L188" t="s">
        <v>285</v>
      </c>
      <c r="M188" t="s">
        <v>285</v>
      </c>
      <c r="N188" t="s">
        <v>286</v>
      </c>
      <c r="O188" t="s">
        <v>132</v>
      </c>
      <c r="P188" t="s">
        <v>77</v>
      </c>
      <c r="Q188" t="s">
        <v>78</v>
      </c>
      <c r="R188" t="s">
        <v>143</v>
      </c>
      <c r="S188" t="s">
        <v>79</v>
      </c>
      <c r="T188">
        <v>43201</v>
      </c>
      <c r="U188" t="s">
        <v>129</v>
      </c>
      <c r="V188">
        <v>51201</v>
      </c>
      <c r="W188" t="s">
        <v>81</v>
      </c>
      <c r="X188">
        <v>240427803</v>
      </c>
      <c r="Y188" t="s">
        <v>74</v>
      </c>
      <c r="Z188">
        <v>0</v>
      </c>
      <c r="AA188" t="s">
        <v>123</v>
      </c>
      <c r="AB188">
        <v>124.2</v>
      </c>
      <c r="AC188">
        <v>0</v>
      </c>
      <c r="AD188">
        <v>0</v>
      </c>
      <c r="AE188">
        <v>124.2</v>
      </c>
      <c r="AF188">
        <v>-124.2</v>
      </c>
      <c r="AG188">
        <v>0</v>
      </c>
      <c r="AH188">
        <v>0</v>
      </c>
      <c r="AI188">
        <v>124.2</v>
      </c>
      <c r="AJ188">
        <v>-124.2</v>
      </c>
      <c r="AK188">
        <v>0</v>
      </c>
      <c r="AL188">
        <v>-124.2</v>
      </c>
      <c r="AM188">
        <v>690</v>
      </c>
      <c r="AN188">
        <v>0</v>
      </c>
      <c r="AO188">
        <v>0</v>
      </c>
      <c r="AP188">
        <v>0</v>
      </c>
      <c r="AQ188">
        <v>0</v>
      </c>
    </row>
    <row r="189" spans="1:43" x14ac:dyDescent="0.25">
      <c r="A189">
        <v>188</v>
      </c>
      <c r="B189" t="s">
        <v>71</v>
      </c>
      <c r="C189" t="s">
        <v>72</v>
      </c>
      <c r="D189" t="s">
        <v>73</v>
      </c>
      <c r="E189" t="s">
        <v>74</v>
      </c>
      <c r="F189">
        <v>240427803</v>
      </c>
      <c r="G189">
        <v>6582786</v>
      </c>
      <c r="H189" t="s">
        <v>100</v>
      </c>
      <c r="I189" t="s">
        <v>76</v>
      </c>
      <c r="J189" t="s">
        <v>100</v>
      </c>
      <c r="K189" t="s">
        <v>468</v>
      </c>
      <c r="L189" t="s">
        <v>285</v>
      </c>
      <c r="M189" t="s">
        <v>285</v>
      </c>
      <c r="N189" t="s">
        <v>286</v>
      </c>
      <c r="O189" t="s">
        <v>132</v>
      </c>
      <c r="P189" t="s">
        <v>77</v>
      </c>
      <c r="Q189" t="s">
        <v>94</v>
      </c>
      <c r="R189" t="s">
        <v>95</v>
      </c>
      <c r="S189" t="s">
        <v>96</v>
      </c>
      <c r="T189">
        <v>41201</v>
      </c>
      <c r="U189" t="s">
        <v>85</v>
      </c>
      <c r="V189">
        <v>51201</v>
      </c>
      <c r="W189" t="s">
        <v>81</v>
      </c>
      <c r="X189">
        <v>240427803</v>
      </c>
      <c r="Y189" t="s">
        <v>74</v>
      </c>
      <c r="Z189">
        <v>2</v>
      </c>
      <c r="AA189" t="s">
        <v>123</v>
      </c>
      <c r="AB189">
        <v>345</v>
      </c>
      <c r="AC189">
        <v>0</v>
      </c>
      <c r="AD189">
        <v>0</v>
      </c>
      <c r="AE189">
        <v>345</v>
      </c>
      <c r="AF189">
        <v>690</v>
      </c>
      <c r="AG189">
        <v>169.71</v>
      </c>
      <c r="AH189">
        <v>339.41</v>
      </c>
      <c r="AI189">
        <v>175.3</v>
      </c>
      <c r="AJ189">
        <v>350.59</v>
      </c>
      <c r="AK189">
        <v>50.81</v>
      </c>
      <c r="AL189">
        <v>-124.2</v>
      </c>
      <c r="AM189">
        <v>690</v>
      </c>
      <c r="AN189">
        <v>-124.2</v>
      </c>
      <c r="AO189">
        <v>113.19499999999999</v>
      </c>
      <c r="AP189">
        <v>226.39</v>
      </c>
      <c r="AQ189">
        <v>40.012371000000002</v>
      </c>
    </row>
    <row r="190" spans="1:43" x14ac:dyDescent="0.25">
      <c r="A190">
        <v>189</v>
      </c>
      <c r="B190" t="s">
        <v>71</v>
      </c>
      <c r="C190" t="s">
        <v>72</v>
      </c>
      <c r="D190" t="s">
        <v>73</v>
      </c>
      <c r="E190" t="s">
        <v>74</v>
      </c>
      <c r="F190">
        <v>240427807</v>
      </c>
      <c r="G190">
        <v>6582790</v>
      </c>
      <c r="H190" t="s">
        <v>100</v>
      </c>
      <c r="I190" t="s">
        <v>76</v>
      </c>
      <c r="J190" t="s">
        <v>100</v>
      </c>
      <c r="K190" t="s">
        <v>469</v>
      </c>
      <c r="L190" t="s">
        <v>285</v>
      </c>
      <c r="M190" t="s">
        <v>285</v>
      </c>
      <c r="N190" t="s">
        <v>286</v>
      </c>
      <c r="O190" t="s">
        <v>10</v>
      </c>
      <c r="P190" t="s">
        <v>77</v>
      </c>
      <c r="Q190" t="s">
        <v>78</v>
      </c>
      <c r="R190" t="s">
        <v>143</v>
      </c>
      <c r="S190" t="s">
        <v>79</v>
      </c>
      <c r="T190">
        <v>43201</v>
      </c>
      <c r="U190" t="s">
        <v>129</v>
      </c>
      <c r="V190">
        <v>51201</v>
      </c>
      <c r="W190" t="s">
        <v>81</v>
      </c>
      <c r="X190">
        <v>240427807</v>
      </c>
      <c r="Y190" t="s">
        <v>74</v>
      </c>
      <c r="Z190">
        <v>0</v>
      </c>
      <c r="AA190" t="s">
        <v>152</v>
      </c>
      <c r="AB190">
        <v>57.92</v>
      </c>
      <c r="AC190">
        <v>-57.92</v>
      </c>
      <c r="AD190">
        <v>1.76</v>
      </c>
      <c r="AE190">
        <v>101.94</v>
      </c>
      <c r="AF190">
        <v>-101.94</v>
      </c>
      <c r="AG190">
        <v>0</v>
      </c>
      <c r="AH190">
        <v>0</v>
      </c>
      <c r="AI190">
        <v>101.94</v>
      </c>
      <c r="AJ190">
        <v>-101.94</v>
      </c>
      <c r="AK190">
        <v>0</v>
      </c>
      <c r="AL190">
        <v>-101.94</v>
      </c>
      <c r="AM190">
        <v>453.02</v>
      </c>
      <c r="AN190">
        <v>0</v>
      </c>
      <c r="AO190">
        <v>0</v>
      </c>
      <c r="AP190">
        <v>0</v>
      </c>
      <c r="AQ190">
        <v>0</v>
      </c>
    </row>
    <row r="191" spans="1:43" x14ac:dyDescent="0.25">
      <c r="A191">
        <v>190</v>
      </c>
      <c r="B191" t="s">
        <v>71</v>
      </c>
      <c r="C191" t="s">
        <v>72</v>
      </c>
      <c r="D191" t="s">
        <v>73</v>
      </c>
      <c r="E191" t="s">
        <v>74</v>
      </c>
      <c r="F191">
        <v>240427807</v>
      </c>
      <c r="G191">
        <v>6582790</v>
      </c>
      <c r="H191" t="s">
        <v>100</v>
      </c>
      <c r="I191" t="s">
        <v>76</v>
      </c>
      <c r="J191" t="s">
        <v>100</v>
      </c>
      <c r="K191" t="s">
        <v>469</v>
      </c>
      <c r="L191" t="s">
        <v>285</v>
      </c>
      <c r="M191" t="s">
        <v>285</v>
      </c>
      <c r="N191" t="s">
        <v>286</v>
      </c>
      <c r="O191" t="s">
        <v>10</v>
      </c>
      <c r="P191" t="s">
        <v>77</v>
      </c>
      <c r="Q191" t="s">
        <v>470</v>
      </c>
      <c r="R191" t="s">
        <v>471</v>
      </c>
      <c r="S191" t="s">
        <v>84</v>
      </c>
      <c r="T191">
        <v>41201</v>
      </c>
      <c r="U191" t="s">
        <v>85</v>
      </c>
      <c r="V191">
        <v>51201</v>
      </c>
      <c r="W191" t="s">
        <v>81</v>
      </c>
      <c r="X191">
        <v>240427807</v>
      </c>
      <c r="Y191" t="s">
        <v>74</v>
      </c>
      <c r="Z191">
        <v>1</v>
      </c>
      <c r="AA191" t="s">
        <v>152</v>
      </c>
      <c r="AB191">
        <v>257.39999999999998</v>
      </c>
      <c r="AC191">
        <v>257.39999999999998</v>
      </c>
      <c r="AD191">
        <v>1.76</v>
      </c>
      <c r="AE191">
        <v>453.02</v>
      </c>
      <c r="AF191">
        <v>453.02</v>
      </c>
      <c r="AG191">
        <v>185</v>
      </c>
      <c r="AH191">
        <v>185</v>
      </c>
      <c r="AI191">
        <v>268.02</v>
      </c>
      <c r="AJ191">
        <v>268.02</v>
      </c>
      <c r="AK191">
        <v>59.16</v>
      </c>
      <c r="AL191">
        <v>-101.94</v>
      </c>
      <c r="AM191">
        <v>453.02</v>
      </c>
      <c r="AN191">
        <v>-101.94</v>
      </c>
      <c r="AO191">
        <v>166.08</v>
      </c>
      <c r="AP191">
        <v>166.08</v>
      </c>
      <c r="AQ191">
        <v>47.305456999999997</v>
      </c>
    </row>
    <row r="192" spans="1:43" x14ac:dyDescent="0.25">
      <c r="A192">
        <v>191</v>
      </c>
      <c r="B192" t="s">
        <v>71</v>
      </c>
      <c r="C192" t="s">
        <v>72</v>
      </c>
      <c r="D192" t="s">
        <v>73</v>
      </c>
      <c r="E192" t="s">
        <v>74</v>
      </c>
      <c r="F192">
        <v>240427808</v>
      </c>
      <c r="G192">
        <v>6582791</v>
      </c>
      <c r="H192" t="s">
        <v>100</v>
      </c>
      <c r="I192" t="s">
        <v>76</v>
      </c>
      <c r="J192" t="s">
        <v>100</v>
      </c>
      <c r="K192" t="s">
        <v>472</v>
      </c>
      <c r="L192" t="s">
        <v>285</v>
      </c>
      <c r="M192" t="s">
        <v>285</v>
      </c>
      <c r="N192" t="s">
        <v>286</v>
      </c>
      <c r="O192" t="s">
        <v>10</v>
      </c>
      <c r="P192" t="s">
        <v>77</v>
      </c>
      <c r="Q192" t="s">
        <v>78</v>
      </c>
      <c r="R192" t="s">
        <v>143</v>
      </c>
      <c r="S192" t="s">
        <v>79</v>
      </c>
      <c r="T192">
        <v>43201</v>
      </c>
      <c r="U192" t="s">
        <v>129</v>
      </c>
      <c r="V192">
        <v>51201</v>
      </c>
      <c r="W192" t="s">
        <v>81</v>
      </c>
      <c r="X192">
        <v>240427808</v>
      </c>
      <c r="Y192" t="s">
        <v>74</v>
      </c>
      <c r="Z192">
        <v>0</v>
      </c>
      <c r="AA192" t="s">
        <v>152</v>
      </c>
      <c r="AB192">
        <v>33.14</v>
      </c>
      <c r="AC192">
        <v>-33.14</v>
      </c>
      <c r="AD192">
        <v>1.76</v>
      </c>
      <c r="AE192">
        <v>58.33</v>
      </c>
      <c r="AF192">
        <v>-58.33</v>
      </c>
      <c r="AG192">
        <v>0</v>
      </c>
      <c r="AH192">
        <v>0</v>
      </c>
      <c r="AI192">
        <v>58.33</v>
      </c>
      <c r="AJ192">
        <v>-58.33</v>
      </c>
      <c r="AK192">
        <v>0</v>
      </c>
      <c r="AL192">
        <v>-58.33</v>
      </c>
      <c r="AM192">
        <v>324.02</v>
      </c>
      <c r="AN192">
        <v>0</v>
      </c>
      <c r="AO192">
        <v>0</v>
      </c>
      <c r="AP192">
        <v>0</v>
      </c>
      <c r="AQ192">
        <v>0</v>
      </c>
    </row>
    <row r="193" spans="1:43" x14ac:dyDescent="0.25">
      <c r="A193">
        <v>192</v>
      </c>
      <c r="B193" t="s">
        <v>71</v>
      </c>
      <c r="C193" t="s">
        <v>72</v>
      </c>
      <c r="D193" t="s">
        <v>73</v>
      </c>
      <c r="E193" t="s">
        <v>74</v>
      </c>
      <c r="F193">
        <v>240427808</v>
      </c>
      <c r="G193">
        <v>6582791</v>
      </c>
      <c r="H193" t="s">
        <v>100</v>
      </c>
      <c r="I193" t="s">
        <v>76</v>
      </c>
      <c r="J193" t="s">
        <v>100</v>
      </c>
      <c r="K193" t="s">
        <v>472</v>
      </c>
      <c r="L193" t="s">
        <v>285</v>
      </c>
      <c r="M193" t="s">
        <v>285</v>
      </c>
      <c r="N193" t="s">
        <v>286</v>
      </c>
      <c r="O193" t="s">
        <v>10</v>
      </c>
      <c r="P193" t="s">
        <v>77</v>
      </c>
      <c r="Q193" t="s">
        <v>159</v>
      </c>
      <c r="R193" t="s">
        <v>160</v>
      </c>
      <c r="S193" t="s">
        <v>105</v>
      </c>
      <c r="T193">
        <v>41201</v>
      </c>
      <c r="U193" t="s">
        <v>85</v>
      </c>
      <c r="V193">
        <v>51201</v>
      </c>
      <c r="W193" t="s">
        <v>81</v>
      </c>
      <c r="X193">
        <v>240427808</v>
      </c>
      <c r="Y193" t="s">
        <v>74</v>
      </c>
      <c r="Z193">
        <v>2</v>
      </c>
      <c r="AA193" t="s">
        <v>152</v>
      </c>
      <c r="AB193">
        <v>92.05</v>
      </c>
      <c r="AC193">
        <v>184.1</v>
      </c>
      <c r="AD193">
        <v>1.76</v>
      </c>
      <c r="AE193">
        <v>162.01</v>
      </c>
      <c r="AF193">
        <v>324.02</v>
      </c>
      <c r="AG193">
        <v>61.11</v>
      </c>
      <c r="AH193">
        <v>122.21</v>
      </c>
      <c r="AI193">
        <v>100.91</v>
      </c>
      <c r="AJ193">
        <v>201.81</v>
      </c>
      <c r="AK193">
        <v>62.28</v>
      </c>
      <c r="AL193">
        <v>-58.33</v>
      </c>
      <c r="AM193">
        <v>324.02</v>
      </c>
      <c r="AN193">
        <v>-58.33</v>
      </c>
      <c r="AO193">
        <v>71.739999999999995</v>
      </c>
      <c r="AP193">
        <v>143.47999999999999</v>
      </c>
      <c r="AQ193">
        <v>54.002785000000003</v>
      </c>
    </row>
    <row r="194" spans="1:43" x14ac:dyDescent="0.25">
      <c r="A194">
        <v>193</v>
      </c>
      <c r="B194" t="s">
        <v>71</v>
      </c>
      <c r="C194" t="s">
        <v>72</v>
      </c>
      <c r="D194" t="s">
        <v>73</v>
      </c>
      <c r="E194" t="s">
        <v>74</v>
      </c>
      <c r="F194">
        <v>240427814</v>
      </c>
      <c r="G194">
        <v>6582797</v>
      </c>
      <c r="H194" t="s">
        <v>100</v>
      </c>
      <c r="I194" t="s">
        <v>76</v>
      </c>
      <c r="J194" t="s">
        <v>100</v>
      </c>
      <c r="K194" t="s">
        <v>473</v>
      </c>
      <c r="L194" t="s">
        <v>285</v>
      </c>
      <c r="M194" t="s">
        <v>285</v>
      </c>
      <c r="N194" t="s">
        <v>286</v>
      </c>
      <c r="O194" t="s">
        <v>10</v>
      </c>
      <c r="P194" t="s">
        <v>77</v>
      </c>
      <c r="Q194" t="s">
        <v>474</v>
      </c>
      <c r="R194" t="s">
        <v>475</v>
      </c>
      <c r="S194" t="s">
        <v>87</v>
      </c>
      <c r="T194">
        <v>41201</v>
      </c>
      <c r="U194" t="s">
        <v>85</v>
      </c>
      <c r="V194">
        <v>51201</v>
      </c>
      <c r="W194" t="s">
        <v>81</v>
      </c>
      <c r="X194">
        <v>240427814</v>
      </c>
      <c r="Y194" t="s">
        <v>74</v>
      </c>
      <c r="Z194">
        <v>1</v>
      </c>
      <c r="AA194" t="s">
        <v>152</v>
      </c>
      <c r="AB194">
        <v>298.89999999999998</v>
      </c>
      <c r="AC194">
        <v>298.89999999999998</v>
      </c>
      <c r="AD194">
        <v>1.76</v>
      </c>
      <c r="AE194">
        <v>526.05999999999995</v>
      </c>
      <c r="AF194">
        <v>526.05999999999995</v>
      </c>
      <c r="AG194">
        <v>250</v>
      </c>
      <c r="AH194">
        <v>250</v>
      </c>
      <c r="AI194">
        <v>276.06</v>
      </c>
      <c r="AJ194">
        <v>276.06</v>
      </c>
      <c r="AK194">
        <v>52.48</v>
      </c>
      <c r="AL194">
        <v>0</v>
      </c>
      <c r="AM194">
        <v>526.05999999999995</v>
      </c>
      <c r="AN194">
        <v>0</v>
      </c>
      <c r="AO194">
        <v>276.06</v>
      </c>
      <c r="AP194">
        <v>276.06</v>
      </c>
      <c r="AQ194">
        <v>52.476903</v>
      </c>
    </row>
    <row r="195" spans="1:43" x14ac:dyDescent="0.25">
      <c r="A195">
        <v>194</v>
      </c>
      <c r="B195" t="s">
        <v>71</v>
      </c>
      <c r="C195" t="s">
        <v>72</v>
      </c>
      <c r="D195" t="s">
        <v>73</v>
      </c>
      <c r="E195" t="s">
        <v>74</v>
      </c>
      <c r="F195">
        <v>240427872</v>
      </c>
      <c r="G195">
        <v>6582855</v>
      </c>
      <c r="H195" t="s">
        <v>100</v>
      </c>
      <c r="I195" t="s">
        <v>76</v>
      </c>
      <c r="J195" t="s">
        <v>100</v>
      </c>
      <c r="K195" t="s">
        <v>476</v>
      </c>
      <c r="L195" t="s">
        <v>285</v>
      </c>
      <c r="M195" t="s">
        <v>285</v>
      </c>
      <c r="N195" t="s">
        <v>286</v>
      </c>
      <c r="O195" t="s">
        <v>130</v>
      </c>
      <c r="P195" t="s">
        <v>77</v>
      </c>
      <c r="Q195" t="s">
        <v>176</v>
      </c>
      <c r="R195" t="s">
        <v>177</v>
      </c>
      <c r="S195" t="s">
        <v>84</v>
      </c>
      <c r="T195">
        <v>41201</v>
      </c>
      <c r="U195" t="s">
        <v>85</v>
      </c>
      <c r="V195">
        <v>51201</v>
      </c>
      <c r="W195" t="s">
        <v>81</v>
      </c>
      <c r="X195">
        <v>240427872</v>
      </c>
      <c r="Y195" t="s">
        <v>74</v>
      </c>
      <c r="Z195">
        <v>2</v>
      </c>
      <c r="AA195" t="s">
        <v>147</v>
      </c>
      <c r="AB195">
        <v>65.5</v>
      </c>
      <c r="AC195">
        <v>131</v>
      </c>
      <c r="AD195">
        <v>5.83</v>
      </c>
      <c r="AE195">
        <v>381.86500000000001</v>
      </c>
      <c r="AF195">
        <v>763.73</v>
      </c>
      <c r="AG195">
        <v>136.53</v>
      </c>
      <c r="AH195">
        <v>273.05</v>
      </c>
      <c r="AI195">
        <v>245.34</v>
      </c>
      <c r="AJ195">
        <v>490.68</v>
      </c>
      <c r="AK195">
        <v>64.25</v>
      </c>
      <c r="AL195">
        <v>-137.47</v>
      </c>
      <c r="AM195">
        <v>763.73</v>
      </c>
      <c r="AN195">
        <v>-137.47</v>
      </c>
      <c r="AO195">
        <v>176.60499999999999</v>
      </c>
      <c r="AP195">
        <v>353.21</v>
      </c>
      <c r="AQ195">
        <v>56.399897000000003</v>
      </c>
    </row>
    <row r="196" spans="1:43" x14ac:dyDescent="0.25">
      <c r="A196">
        <v>195</v>
      </c>
      <c r="B196" t="s">
        <v>71</v>
      </c>
      <c r="C196" t="s">
        <v>72</v>
      </c>
      <c r="D196" t="s">
        <v>73</v>
      </c>
      <c r="E196" t="s">
        <v>74</v>
      </c>
      <c r="F196">
        <v>240427872</v>
      </c>
      <c r="G196">
        <v>6582855</v>
      </c>
      <c r="H196" t="s">
        <v>100</v>
      </c>
      <c r="I196" t="s">
        <v>76</v>
      </c>
      <c r="J196" t="s">
        <v>100</v>
      </c>
      <c r="K196" t="s">
        <v>476</v>
      </c>
      <c r="L196" t="s">
        <v>285</v>
      </c>
      <c r="M196" t="s">
        <v>285</v>
      </c>
      <c r="N196" t="s">
        <v>286</v>
      </c>
      <c r="O196" t="s">
        <v>130</v>
      </c>
      <c r="P196" t="s">
        <v>77</v>
      </c>
      <c r="Q196" t="s">
        <v>78</v>
      </c>
      <c r="R196" t="s">
        <v>143</v>
      </c>
      <c r="S196" t="s">
        <v>79</v>
      </c>
      <c r="T196">
        <v>43201</v>
      </c>
      <c r="U196" t="s">
        <v>129</v>
      </c>
      <c r="V196">
        <v>51201</v>
      </c>
      <c r="W196" t="s">
        <v>81</v>
      </c>
      <c r="X196">
        <v>240427872</v>
      </c>
      <c r="Y196" t="s">
        <v>74</v>
      </c>
      <c r="Z196">
        <v>0</v>
      </c>
      <c r="AA196" t="s">
        <v>147</v>
      </c>
      <c r="AB196">
        <v>23.58</v>
      </c>
      <c r="AC196">
        <v>-23.58</v>
      </c>
      <c r="AD196">
        <v>5.83</v>
      </c>
      <c r="AE196">
        <v>137.47</v>
      </c>
      <c r="AF196">
        <v>-137.47</v>
      </c>
      <c r="AG196">
        <v>0</v>
      </c>
      <c r="AH196">
        <v>0</v>
      </c>
      <c r="AI196">
        <v>137.47</v>
      </c>
      <c r="AJ196">
        <v>-137.47</v>
      </c>
      <c r="AK196">
        <v>0</v>
      </c>
      <c r="AL196">
        <v>-137.47</v>
      </c>
      <c r="AM196">
        <v>763.73</v>
      </c>
      <c r="AN196">
        <v>0</v>
      </c>
      <c r="AO196">
        <v>0</v>
      </c>
      <c r="AP196">
        <v>0</v>
      </c>
      <c r="AQ196">
        <v>0</v>
      </c>
    </row>
    <row r="197" spans="1:43" x14ac:dyDescent="0.25">
      <c r="A197">
        <v>196</v>
      </c>
      <c r="B197" t="s">
        <v>71</v>
      </c>
      <c r="C197" t="s">
        <v>72</v>
      </c>
      <c r="D197" t="s">
        <v>73</v>
      </c>
      <c r="E197" t="s">
        <v>74</v>
      </c>
      <c r="F197">
        <v>240427932</v>
      </c>
      <c r="G197">
        <v>6582915</v>
      </c>
      <c r="H197" t="s">
        <v>100</v>
      </c>
      <c r="I197" t="s">
        <v>76</v>
      </c>
      <c r="J197" t="s">
        <v>100</v>
      </c>
      <c r="K197" t="s">
        <v>477</v>
      </c>
      <c r="L197" t="s">
        <v>285</v>
      </c>
      <c r="M197" t="s">
        <v>285</v>
      </c>
      <c r="N197" t="s">
        <v>286</v>
      </c>
      <c r="O197" t="s">
        <v>10</v>
      </c>
      <c r="P197" t="s">
        <v>77</v>
      </c>
      <c r="Q197" t="s">
        <v>187</v>
      </c>
      <c r="R197" t="s">
        <v>188</v>
      </c>
      <c r="S197" t="s">
        <v>105</v>
      </c>
      <c r="T197">
        <v>41201</v>
      </c>
      <c r="U197" t="s">
        <v>85</v>
      </c>
      <c r="V197">
        <v>51201</v>
      </c>
      <c r="W197" t="s">
        <v>81</v>
      </c>
      <c r="X197">
        <v>240427932</v>
      </c>
      <c r="Y197" t="s">
        <v>74</v>
      </c>
      <c r="Z197">
        <v>1</v>
      </c>
      <c r="AA197" t="s">
        <v>152</v>
      </c>
      <c r="AB197">
        <v>203</v>
      </c>
      <c r="AC197">
        <v>203</v>
      </c>
      <c r="AD197">
        <v>1.76</v>
      </c>
      <c r="AE197">
        <v>357.28</v>
      </c>
      <c r="AF197">
        <v>357.28</v>
      </c>
      <c r="AG197">
        <v>145.24</v>
      </c>
      <c r="AH197">
        <v>145.24</v>
      </c>
      <c r="AI197">
        <v>212.04</v>
      </c>
      <c r="AJ197">
        <v>212.04</v>
      </c>
      <c r="AK197">
        <v>59.35</v>
      </c>
      <c r="AL197">
        <v>-64.31</v>
      </c>
      <c r="AM197">
        <v>357.28</v>
      </c>
      <c r="AN197">
        <v>-64.31</v>
      </c>
      <c r="AO197">
        <v>147.72999999999999</v>
      </c>
      <c r="AP197">
        <v>147.72999999999999</v>
      </c>
      <c r="AQ197">
        <v>50.424957999999997</v>
      </c>
    </row>
    <row r="198" spans="1:43" x14ac:dyDescent="0.25">
      <c r="A198">
        <v>197</v>
      </c>
      <c r="B198" t="s">
        <v>71</v>
      </c>
      <c r="C198" t="s">
        <v>72</v>
      </c>
      <c r="D198" t="s">
        <v>73</v>
      </c>
      <c r="E198" t="s">
        <v>74</v>
      </c>
      <c r="F198">
        <v>240427932</v>
      </c>
      <c r="G198">
        <v>6582915</v>
      </c>
      <c r="H198" t="s">
        <v>100</v>
      </c>
      <c r="I198" t="s">
        <v>76</v>
      </c>
      <c r="J198" t="s">
        <v>100</v>
      </c>
      <c r="K198" t="s">
        <v>477</v>
      </c>
      <c r="L198" t="s">
        <v>285</v>
      </c>
      <c r="M198" t="s">
        <v>285</v>
      </c>
      <c r="N198" t="s">
        <v>286</v>
      </c>
      <c r="O198" t="s">
        <v>10</v>
      </c>
      <c r="P198" t="s">
        <v>77</v>
      </c>
      <c r="Q198" t="s">
        <v>78</v>
      </c>
      <c r="R198" t="s">
        <v>143</v>
      </c>
      <c r="S198" t="s">
        <v>79</v>
      </c>
      <c r="T198">
        <v>43201</v>
      </c>
      <c r="U198" t="s">
        <v>129</v>
      </c>
      <c r="V198">
        <v>51201</v>
      </c>
      <c r="W198" t="s">
        <v>81</v>
      </c>
      <c r="X198">
        <v>240427932</v>
      </c>
      <c r="Y198" t="s">
        <v>74</v>
      </c>
      <c r="Z198">
        <v>0</v>
      </c>
      <c r="AA198" t="s">
        <v>152</v>
      </c>
      <c r="AB198">
        <v>36.54</v>
      </c>
      <c r="AC198">
        <v>-36.54</v>
      </c>
      <c r="AD198">
        <v>1.76</v>
      </c>
      <c r="AE198">
        <v>64.31</v>
      </c>
      <c r="AF198">
        <v>-64.31</v>
      </c>
      <c r="AG198">
        <v>0</v>
      </c>
      <c r="AH198">
        <v>0</v>
      </c>
      <c r="AI198">
        <v>64.31</v>
      </c>
      <c r="AJ198">
        <v>-64.31</v>
      </c>
      <c r="AK198">
        <v>0</v>
      </c>
      <c r="AL198">
        <v>-64.31</v>
      </c>
      <c r="AM198">
        <v>357.28</v>
      </c>
      <c r="AN198">
        <v>0</v>
      </c>
      <c r="AO198">
        <v>0</v>
      </c>
      <c r="AP198">
        <v>0</v>
      </c>
      <c r="AQ198">
        <v>0</v>
      </c>
    </row>
    <row r="199" spans="1:43" x14ac:dyDescent="0.25">
      <c r="A199">
        <v>198</v>
      </c>
      <c r="B199" t="s">
        <v>71</v>
      </c>
      <c r="C199" t="s">
        <v>72</v>
      </c>
      <c r="D199" t="s">
        <v>73</v>
      </c>
      <c r="E199" t="s">
        <v>74</v>
      </c>
      <c r="F199">
        <v>240428149</v>
      </c>
      <c r="G199">
        <v>6583132</v>
      </c>
      <c r="H199" t="s">
        <v>100</v>
      </c>
      <c r="I199" t="s">
        <v>76</v>
      </c>
      <c r="J199" t="s">
        <v>100</v>
      </c>
      <c r="K199" t="s">
        <v>478</v>
      </c>
      <c r="L199" t="s">
        <v>285</v>
      </c>
      <c r="M199" t="s">
        <v>285</v>
      </c>
      <c r="N199" t="s">
        <v>286</v>
      </c>
      <c r="O199" t="s">
        <v>10</v>
      </c>
      <c r="P199" t="s">
        <v>77</v>
      </c>
      <c r="Q199" t="s">
        <v>176</v>
      </c>
      <c r="R199" t="s">
        <v>177</v>
      </c>
      <c r="S199" t="s">
        <v>84</v>
      </c>
      <c r="T199">
        <v>41201</v>
      </c>
      <c r="U199" t="s">
        <v>85</v>
      </c>
      <c r="V199">
        <v>51201</v>
      </c>
      <c r="W199" t="s">
        <v>81</v>
      </c>
      <c r="X199">
        <v>240428149</v>
      </c>
      <c r="Y199" t="s">
        <v>74</v>
      </c>
      <c r="Z199">
        <v>2</v>
      </c>
      <c r="AA199" t="s">
        <v>152</v>
      </c>
      <c r="AB199">
        <v>170.8</v>
      </c>
      <c r="AC199">
        <v>341.6</v>
      </c>
      <c r="AD199">
        <v>1.76</v>
      </c>
      <c r="AE199">
        <v>300.61</v>
      </c>
      <c r="AF199">
        <v>601.22</v>
      </c>
      <c r="AG199">
        <v>136.53</v>
      </c>
      <c r="AH199">
        <v>273.05</v>
      </c>
      <c r="AI199">
        <v>164.09</v>
      </c>
      <c r="AJ199">
        <v>328.17</v>
      </c>
      <c r="AK199">
        <v>54.58</v>
      </c>
      <c r="AL199">
        <v>-108.22</v>
      </c>
      <c r="AM199">
        <v>601.22</v>
      </c>
      <c r="AN199">
        <v>-108.22</v>
      </c>
      <c r="AO199">
        <v>109.97499999999999</v>
      </c>
      <c r="AP199">
        <v>219.95</v>
      </c>
      <c r="AQ199">
        <v>44.614604</v>
      </c>
    </row>
    <row r="200" spans="1:43" x14ac:dyDescent="0.25">
      <c r="A200">
        <v>199</v>
      </c>
      <c r="B200" t="s">
        <v>71</v>
      </c>
      <c r="C200" t="s">
        <v>72</v>
      </c>
      <c r="D200" t="s">
        <v>73</v>
      </c>
      <c r="E200" t="s">
        <v>74</v>
      </c>
      <c r="F200">
        <v>240428149</v>
      </c>
      <c r="G200">
        <v>6583132</v>
      </c>
      <c r="H200" t="s">
        <v>100</v>
      </c>
      <c r="I200" t="s">
        <v>76</v>
      </c>
      <c r="J200" t="s">
        <v>100</v>
      </c>
      <c r="K200" t="s">
        <v>478</v>
      </c>
      <c r="L200" t="s">
        <v>285</v>
      </c>
      <c r="M200" t="s">
        <v>285</v>
      </c>
      <c r="N200" t="s">
        <v>286</v>
      </c>
      <c r="O200" t="s">
        <v>10</v>
      </c>
      <c r="P200" t="s">
        <v>77</v>
      </c>
      <c r="Q200" t="s">
        <v>78</v>
      </c>
      <c r="R200" t="s">
        <v>143</v>
      </c>
      <c r="S200" t="s">
        <v>79</v>
      </c>
      <c r="T200">
        <v>43201</v>
      </c>
      <c r="U200" t="s">
        <v>129</v>
      </c>
      <c r="V200">
        <v>51201</v>
      </c>
      <c r="W200" t="s">
        <v>81</v>
      </c>
      <c r="X200">
        <v>240428149</v>
      </c>
      <c r="Y200" t="s">
        <v>74</v>
      </c>
      <c r="Z200">
        <v>0</v>
      </c>
      <c r="AA200" t="s">
        <v>152</v>
      </c>
      <c r="AB200">
        <v>61.49</v>
      </c>
      <c r="AC200">
        <v>-61.49</v>
      </c>
      <c r="AD200">
        <v>1.76</v>
      </c>
      <c r="AE200">
        <v>108.22</v>
      </c>
      <c r="AF200">
        <v>-108.22</v>
      </c>
      <c r="AG200">
        <v>0</v>
      </c>
      <c r="AH200">
        <v>0</v>
      </c>
      <c r="AI200">
        <v>108.22</v>
      </c>
      <c r="AJ200">
        <v>-108.22</v>
      </c>
      <c r="AK200">
        <v>0</v>
      </c>
      <c r="AL200">
        <v>-108.22</v>
      </c>
      <c r="AM200">
        <v>601.22</v>
      </c>
      <c r="AN200">
        <v>0</v>
      </c>
      <c r="AO200">
        <v>0</v>
      </c>
      <c r="AP200">
        <v>0</v>
      </c>
      <c r="AQ200">
        <v>0</v>
      </c>
    </row>
    <row r="201" spans="1:43" x14ac:dyDescent="0.25">
      <c r="A201">
        <v>200</v>
      </c>
      <c r="B201" t="s">
        <v>71</v>
      </c>
      <c r="C201" t="s">
        <v>72</v>
      </c>
      <c r="D201" t="s">
        <v>73</v>
      </c>
      <c r="E201" t="s">
        <v>74</v>
      </c>
      <c r="F201">
        <v>240428332</v>
      </c>
      <c r="G201">
        <v>6583324</v>
      </c>
      <c r="H201" t="s">
        <v>101</v>
      </c>
      <c r="I201" t="s">
        <v>76</v>
      </c>
      <c r="J201" t="s">
        <v>101</v>
      </c>
      <c r="K201" t="s">
        <v>479</v>
      </c>
      <c r="L201" t="s">
        <v>285</v>
      </c>
      <c r="M201" t="s">
        <v>285</v>
      </c>
      <c r="N201" t="s">
        <v>286</v>
      </c>
      <c r="O201" t="s">
        <v>130</v>
      </c>
      <c r="P201" t="s">
        <v>77</v>
      </c>
      <c r="Q201" t="s">
        <v>245</v>
      </c>
      <c r="R201" t="s">
        <v>246</v>
      </c>
      <c r="S201" t="s">
        <v>84</v>
      </c>
      <c r="T201">
        <v>41201</v>
      </c>
      <c r="U201" t="s">
        <v>85</v>
      </c>
      <c r="V201">
        <v>51201</v>
      </c>
      <c r="W201" t="s">
        <v>81</v>
      </c>
      <c r="X201">
        <v>240428332</v>
      </c>
      <c r="Y201" t="s">
        <v>74</v>
      </c>
      <c r="Z201">
        <v>1</v>
      </c>
      <c r="AA201" t="s">
        <v>147</v>
      </c>
      <c r="AB201">
        <v>75</v>
      </c>
      <c r="AC201">
        <v>75</v>
      </c>
      <c r="AD201">
        <v>5.83</v>
      </c>
      <c r="AE201">
        <v>437.25</v>
      </c>
      <c r="AF201">
        <v>437.25</v>
      </c>
      <c r="AG201">
        <v>152.65</v>
      </c>
      <c r="AH201">
        <v>152.65</v>
      </c>
      <c r="AI201">
        <v>284.60000000000002</v>
      </c>
      <c r="AJ201">
        <v>284.60000000000002</v>
      </c>
      <c r="AK201">
        <v>65.09</v>
      </c>
      <c r="AL201">
        <v>-98.41</v>
      </c>
      <c r="AM201">
        <v>437.25</v>
      </c>
      <c r="AN201">
        <v>-98.41</v>
      </c>
      <c r="AO201">
        <v>186.19</v>
      </c>
      <c r="AP201">
        <v>186.19</v>
      </c>
      <c r="AQ201">
        <v>54.949238000000001</v>
      </c>
    </row>
    <row r="202" spans="1:43" x14ac:dyDescent="0.25">
      <c r="A202">
        <v>201</v>
      </c>
      <c r="B202" t="s">
        <v>71</v>
      </c>
      <c r="C202" t="s">
        <v>72</v>
      </c>
      <c r="D202" t="s">
        <v>73</v>
      </c>
      <c r="E202" t="s">
        <v>74</v>
      </c>
      <c r="F202">
        <v>240428332</v>
      </c>
      <c r="G202">
        <v>6583324</v>
      </c>
      <c r="H202" t="s">
        <v>101</v>
      </c>
      <c r="I202" t="s">
        <v>76</v>
      </c>
      <c r="J202" t="s">
        <v>101</v>
      </c>
      <c r="K202" t="s">
        <v>479</v>
      </c>
      <c r="L202" t="s">
        <v>285</v>
      </c>
      <c r="M202" t="s">
        <v>285</v>
      </c>
      <c r="N202" t="s">
        <v>286</v>
      </c>
      <c r="O202" t="s">
        <v>130</v>
      </c>
      <c r="P202" t="s">
        <v>77</v>
      </c>
      <c r="Q202" t="s">
        <v>78</v>
      </c>
      <c r="R202" t="s">
        <v>143</v>
      </c>
      <c r="S202" t="s">
        <v>79</v>
      </c>
      <c r="T202">
        <v>43201</v>
      </c>
      <c r="U202" t="s">
        <v>129</v>
      </c>
      <c r="V202">
        <v>51201</v>
      </c>
      <c r="W202" t="s">
        <v>81</v>
      </c>
      <c r="X202">
        <v>240428332</v>
      </c>
      <c r="Y202" t="s">
        <v>74</v>
      </c>
      <c r="Z202">
        <v>0</v>
      </c>
      <c r="AA202" t="s">
        <v>147</v>
      </c>
      <c r="AB202">
        <v>16.88</v>
      </c>
      <c r="AC202">
        <v>-16.88</v>
      </c>
      <c r="AD202">
        <v>5.83</v>
      </c>
      <c r="AE202">
        <v>98.41</v>
      </c>
      <c r="AF202">
        <v>-98.41</v>
      </c>
      <c r="AG202">
        <v>0</v>
      </c>
      <c r="AH202">
        <v>0</v>
      </c>
      <c r="AI202">
        <v>98.41</v>
      </c>
      <c r="AJ202">
        <v>-98.41</v>
      </c>
      <c r="AK202">
        <v>0</v>
      </c>
      <c r="AL202">
        <v>-98.41</v>
      </c>
      <c r="AM202">
        <v>437.25</v>
      </c>
      <c r="AN202">
        <v>0</v>
      </c>
      <c r="AO202">
        <v>0</v>
      </c>
      <c r="AP202">
        <v>0</v>
      </c>
      <c r="AQ202">
        <v>0</v>
      </c>
    </row>
    <row r="203" spans="1:43" x14ac:dyDescent="0.25">
      <c r="A203">
        <v>202</v>
      </c>
      <c r="B203" t="s">
        <v>71</v>
      </c>
      <c r="C203" t="s">
        <v>72</v>
      </c>
      <c r="D203" t="s">
        <v>73</v>
      </c>
      <c r="E203" t="s">
        <v>74</v>
      </c>
      <c r="F203">
        <v>240428342</v>
      </c>
      <c r="G203">
        <v>6583335</v>
      </c>
      <c r="H203" t="s">
        <v>101</v>
      </c>
      <c r="I203" t="s">
        <v>76</v>
      </c>
      <c r="J203" t="s">
        <v>101</v>
      </c>
      <c r="K203" t="s">
        <v>480</v>
      </c>
      <c r="L203" t="s">
        <v>285</v>
      </c>
      <c r="M203" t="s">
        <v>285</v>
      </c>
      <c r="N203" t="s">
        <v>286</v>
      </c>
      <c r="O203" t="s">
        <v>132</v>
      </c>
      <c r="P203" t="s">
        <v>77</v>
      </c>
      <c r="Q203" t="s">
        <v>78</v>
      </c>
      <c r="R203" t="s">
        <v>143</v>
      </c>
      <c r="S203" t="s">
        <v>79</v>
      </c>
      <c r="T203">
        <v>43201</v>
      </c>
      <c r="U203" t="s">
        <v>129</v>
      </c>
      <c r="V203">
        <v>51201</v>
      </c>
      <c r="W203" t="s">
        <v>81</v>
      </c>
      <c r="X203">
        <v>240428342</v>
      </c>
      <c r="Y203" t="s">
        <v>74</v>
      </c>
      <c r="Z203">
        <v>0</v>
      </c>
      <c r="AA203" t="s">
        <v>123</v>
      </c>
      <c r="AB203">
        <v>133.65</v>
      </c>
      <c r="AC203">
        <v>0</v>
      </c>
      <c r="AD203">
        <v>0</v>
      </c>
      <c r="AE203">
        <v>133.65</v>
      </c>
      <c r="AF203">
        <v>-133.65</v>
      </c>
      <c r="AG203">
        <v>0</v>
      </c>
      <c r="AH203">
        <v>0</v>
      </c>
      <c r="AI203">
        <v>133.65</v>
      </c>
      <c r="AJ203">
        <v>-133.65</v>
      </c>
      <c r="AK203">
        <v>0</v>
      </c>
      <c r="AL203">
        <v>-133.65</v>
      </c>
      <c r="AM203">
        <v>495</v>
      </c>
      <c r="AN203">
        <v>0</v>
      </c>
      <c r="AO203">
        <v>0</v>
      </c>
      <c r="AP203">
        <v>0</v>
      </c>
      <c r="AQ203">
        <v>0</v>
      </c>
    </row>
    <row r="204" spans="1:43" x14ac:dyDescent="0.25">
      <c r="A204">
        <v>203</v>
      </c>
      <c r="B204" t="s">
        <v>71</v>
      </c>
      <c r="C204" t="s">
        <v>72</v>
      </c>
      <c r="D204" t="s">
        <v>73</v>
      </c>
      <c r="E204" t="s">
        <v>74</v>
      </c>
      <c r="F204">
        <v>240428342</v>
      </c>
      <c r="G204">
        <v>6583335</v>
      </c>
      <c r="H204" t="s">
        <v>101</v>
      </c>
      <c r="I204" t="s">
        <v>76</v>
      </c>
      <c r="J204" t="s">
        <v>101</v>
      </c>
      <c r="K204" t="s">
        <v>480</v>
      </c>
      <c r="L204" t="s">
        <v>285</v>
      </c>
      <c r="M204" t="s">
        <v>285</v>
      </c>
      <c r="N204" t="s">
        <v>286</v>
      </c>
      <c r="O204" t="s">
        <v>132</v>
      </c>
      <c r="P204" t="s">
        <v>77</v>
      </c>
      <c r="Q204" t="s">
        <v>153</v>
      </c>
      <c r="R204" t="s">
        <v>154</v>
      </c>
      <c r="S204" t="s">
        <v>105</v>
      </c>
      <c r="T204">
        <v>41201</v>
      </c>
      <c r="U204" t="s">
        <v>85</v>
      </c>
      <c r="V204">
        <v>51201</v>
      </c>
      <c r="W204" t="s">
        <v>81</v>
      </c>
      <c r="X204">
        <v>240428342</v>
      </c>
      <c r="Y204" t="s">
        <v>74</v>
      </c>
      <c r="Z204">
        <v>2</v>
      </c>
      <c r="AA204" t="s">
        <v>123</v>
      </c>
      <c r="AB204">
        <v>247.5</v>
      </c>
      <c r="AC204">
        <v>0</v>
      </c>
      <c r="AD204">
        <v>0</v>
      </c>
      <c r="AE204">
        <v>247.5</v>
      </c>
      <c r="AF204">
        <v>495</v>
      </c>
      <c r="AG204">
        <v>96.05</v>
      </c>
      <c r="AH204">
        <v>192.09</v>
      </c>
      <c r="AI204">
        <v>151.46</v>
      </c>
      <c r="AJ204">
        <v>302.91000000000003</v>
      </c>
      <c r="AK204">
        <v>61.19</v>
      </c>
      <c r="AL204">
        <v>-133.65</v>
      </c>
      <c r="AM204">
        <v>495</v>
      </c>
      <c r="AN204">
        <v>-133.65</v>
      </c>
      <c r="AO204">
        <v>84.63</v>
      </c>
      <c r="AP204">
        <v>169.26</v>
      </c>
      <c r="AQ204">
        <v>46.841011999999999</v>
      </c>
    </row>
    <row r="205" spans="1:43" x14ac:dyDescent="0.25">
      <c r="A205">
        <v>204</v>
      </c>
      <c r="B205" t="s">
        <v>71</v>
      </c>
      <c r="C205" t="s">
        <v>72</v>
      </c>
      <c r="D205" t="s">
        <v>73</v>
      </c>
      <c r="E205" t="s">
        <v>74</v>
      </c>
      <c r="F205">
        <v>240428523</v>
      </c>
      <c r="G205">
        <v>6583517</v>
      </c>
      <c r="H205" t="s">
        <v>101</v>
      </c>
      <c r="I205" t="s">
        <v>76</v>
      </c>
      <c r="J205" t="s">
        <v>101</v>
      </c>
      <c r="K205" t="s">
        <v>481</v>
      </c>
      <c r="L205" t="s">
        <v>285</v>
      </c>
      <c r="M205" t="s">
        <v>285</v>
      </c>
      <c r="N205" t="s">
        <v>286</v>
      </c>
      <c r="O205" t="s">
        <v>130</v>
      </c>
      <c r="P205" t="s">
        <v>77</v>
      </c>
      <c r="Q205" t="s">
        <v>78</v>
      </c>
      <c r="R205" t="s">
        <v>143</v>
      </c>
      <c r="S205" t="s">
        <v>79</v>
      </c>
      <c r="T205">
        <v>43201</v>
      </c>
      <c r="U205" t="s">
        <v>129</v>
      </c>
      <c r="V205">
        <v>51201</v>
      </c>
      <c r="W205" t="s">
        <v>81</v>
      </c>
      <c r="X205">
        <v>240428523</v>
      </c>
      <c r="Y205" t="s">
        <v>74</v>
      </c>
      <c r="Z205">
        <v>0</v>
      </c>
      <c r="AA205" t="s">
        <v>147</v>
      </c>
      <c r="AB205">
        <v>10.08</v>
      </c>
      <c r="AC205">
        <v>-10.08</v>
      </c>
      <c r="AD205">
        <v>5.83</v>
      </c>
      <c r="AE205">
        <v>58.77</v>
      </c>
      <c r="AF205">
        <v>-58.77</v>
      </c>
      <c r="AG205">
        <v>0</v>
      </c>
      <c r="AH205">
        <v>0</v>
      </c>
      <c r="AI205">
        <v>58.77</v>
      </c>
      <c r="AJ205">
        <v>-58.77</v>
      </c>
      <c r="AK205">
        <v>0</v>
      </c>
      <c r="AL205">
        <v>-58.77</v>
      </c>
      <c r="AM205">
        <v>326.54000000000002</v>
      </c>
      <c r="AN205">
        <v>0</v>
      </c>
      <c r="AO205">
        <v>0</v>
      </c>
      <c r="AP205">
        <v>0</v>
      </c>
      <c r="AQ205">
        <v>0</v>
      </c>
    </row>
    <row r="206" spans="1:43" x14ac:dyDescent="0.25">
      <c r="A206">
        <v>205</v>
      </c>
      <c r="B206" t="s">
        <v>71</v>
      </c>
      <c r="C206" t="s">
        <v>72</v>
      </c>
      <c r="D206" t="s">
        <v>73</v>
      </c>
      <c r="E206" t="s">
        <v>74</v>
      </c>
      <c r="F206">
        <v>240428523</v>
      </c>
      <c r="G206">
        <v>6583517</v>
      </c>
      <c r="H206" t="s">
        <v>101</v>
      </c>
      <c r="I206" t="s">
        <v>76</v>
      </c>
      <c r="J206" t="s">
        <v>101</v>
      </c>
      <c r="K206" t="s">
        <v>481</v>
      </c>
      <c r="L206" t="s">
        <v>285</v>
      </c>
      <c r="M206" t="s">
        <v>285</v>
      </c>
      <c r="N206" t="s">
        <v>286</v>
      </c>
      <c r="O206" t="s">
        <v>130</v>
      </c>
      <c r="P206" t="s">
        <v>77</v>
      </c>
      <c r="Q206" t="s">
        <v>231</v>
      </c>
      <c r="R206" t="s">
        <v>232</v>
      </c>
      <c r="S206" t="s">
        <v>105</v>
      </c>
      <c r="T206">
        <v>41201</v>
      </c>
      <c r="U206" t="s">
        <v>85</v>
      </c>
      <c r="V206">
        <v>51201</v>
      </c>
      <c r="W206" t="s">
        <v>81</v>
      </c>
      <c r="X206">
        <v>240428523</v>
      </c>
      <c r="Y206" t="s">
        <v>74</v>
      </c>
      <c r="Z206">
        <v>3</v>
      </c>
      <c r="AA206" t="s">
        <v>147</v>
      </c>
      <c r="AB206">
        <v>18.670000000000002</v>
      </c>
      <c r="AC206">
        <v>56.01</v>
      </c>
      <c r="AD206">
        <v>5.83</v>
      </c>
      <c r="AE206">
        <v>108.846666</v>
      </c>
      <c r="AF206">
        <v>326.54000000000002</v>
      </c>
      <c r="AG206">
        <v>34.36</v>
      </c>
      <c r="AH206">
        <v>103.08</v>
      </c>
      <c r="AI206">
        <v>74.489999999999995</v>
      </c>
      <c r="AJ206">
        <v>223.46</v>
      </c>
      <c r="AK206">
        <v>68.430000000000007</v>
      </c>
      <c r="AL206">
        <v>-58.77</v>
      </c>
      <c r="AM206">
        <v>326.54000000000002</v>
      </c>
      <c r="AN206">
        <v>-58.77</v>
      </c>
      <c r="AO206">
        <v>54.896666000000003</v>
      </c>
      <c r="AP206">
        <v>164.69</v>
      </c>
      <c r="AQ206">
        <v>61.504275999999997</v>
      </c>
    </row>
    <row r="207" spans="1:43" x14ac:dyDescent="0.25">
      <c r="A207">
        <v>206</v>
      </c>
      <c r="B207" t="s">
        <v>71</v>
      </c>
      <c r="C207" t="s">
        <v>72</v>
      </c>
      <c r="D207" t="s">
        <v>73</v>
      </c>
      <c r="E207" t="s">
        <v>74</v>
      </c>
      <c r="F207">
        <v>240428591</v>
      </c>
      <c r="G207">
        <v>6583585</v>
      </c>
      <c r="H207" t="s">
        <v>101</v>
      </c>
      <c r="I207" t="s">
        <v>76</v>
      </c>
      <c r="J207" t="s">
        <v>101</v>
      </c>
      <c r="K207" t="s">
        <v>482</v>
      </c>
      <c r="L207" t="s">
        <v>285</v>
      </c>
      <c r="M207" t="s">
        <v>285</v>
      </c>
      <c r="N207" t="s">
        <v>286</v>
      </c>
      <c r="O207" t="s">
        <v>130</v>
      </c>
      <c r="P207" t="s">
        <v>77</v>
      </c>
      <c r="Q207" t="s">
        <v>78</v>
      </c>
      <c r="R207" t="s">
        <v>143</v>
      </c>
      <c r="S207" t="s">
        <v>79</v>
      </c>
      <c r="T207">
        <v>43201</v>
      </c>
      <c r="U207" t="s">
        <v>129</v>
      </c>
      <c r="V207">
        <v>51201</v>
      </c>
      <c r="W207" t="s">
        <v>81</v>
      </c>
      <c r="X207">
        <v>240428591</v>
      </c>
      <c r="Y207" t="s">
        <v>74</v>
      </c>
      <c r="Z207">
        <v>0</v>
      </c>
      <c r="AA207" t="s">
        <v>147</v>
      </c>
      <c r="AB207">
        <v>13.77</v>
      </c>
      <c r="AC207">
        <v>-13.77</v>
      </c>
      <c r="AD207">
        <v>5.83</v>
      </c>
      <c r="AE207">
        <v>80.28</v>
      </c>
      <c r="AF207">
        <v>-80.28</v>
      </c>
      <c r="AG207">
        <v>0</v>
      </c>
      <c r="AH207">
        <v>0</v>
      </c>
      <c r="AI207">
        <v>80.28</v>
      </c>
      <c r="AJ207">
        <v>-80.28</v>
      </c>
      <c r="AK207">
        <v>0</v>
      </c>
      <c r="AL207">
        <v>-80.28</v>
      </c>
      <c r="AM207">
        <v>297.33</v>
      </c>
      <c r="AN207">
        <v>0</v>
      </c>
      <c r="AO207">
        <v>0</v>
      </c>
      <c r="AP207">
        <v>0</v>
      </c>
      <c r="AQ207">
        <v>0</v>
      </c>
    </row>
    <row r="208" spans="1:43" x14ac:dyDescent="0.25">
      <c r="A208">
        <v>207</v>
      </c>
      <c r="B208" t="s">
        <v>71</v>
      </c>
      <c r="C208" t="s">
        <v>72</v>
      </c>
      <c r="D208" t="s">
        <v>73</v>
      </c>
      <c r="E208" t="s">
        <v>74</v>
      </c>
      <c r="F208">
        <v>240428591</v>
      </c>
      <c r="G208">
        <v>6583585</v>
      </c>
      <c r="H208" t="s">
        <v>101</v>
      </c>
      <c r="I208" t="s">
        <v>76</v>
      </c>
      <c r="J208" t="s">
        <v>101</v>
      </c>
      <c r="K208" t="s">
        <v>482</v>
      </c>
      <c r="L208" t="s">
        <v>285</v>
      </c>
      <c r="M208" t="s">
        <v>285</v>
      </c>
      <c r="N208" t="s">
        <v>286</v>
      </c>
      <c r="O208" t="s">
        <v>130</v>
      </c>
      <c r="P208" t="s">
        <v>77</v>
      </c>
      <c r="Q208" t="s">
        <v>483</v>
      </c>
      <c r="R208" t="s">
        <v>484</v>
      </c>
      <c r="S208" t="s">
        <v>84</v>
      </c>
      <c r="T208">
        <v>41201</v>
      </c>
      <c r="U208" t="s">
        <v>85</v>
      </c>
      <c r="V208">
        <v>51201</v>
      </c>
      <c r="W208" t="s">
        <v>81</v>
      </c>
      <c r="X208">
        <v>240428591</v>
      </c>
      <c r="Y208" t="s">
        <v>74</v>
      </c>
      <c r="Z208">
        <v>1</v>
      </c>
      <c r="AA208" t="s">
        <v>147</v>
      </c>
      <c r="AB208">
        <v>51</v>
      </c>
      <c r="AC208">
        <v>51</v>
      </c>
      <c r="AD208">
        <v>5.83</v>
      </c>
      <c r="AE208">
        <v>297.33</v>
      </c>
      <c r="AF208">
        <v>297.33</v>
      </c>
      <c r="AG208">
        <v>70</v>
      </c>
      <c r="AH208">
        <v>70</v>
      </c>
      <c r="AI208">
        <v>227.33</v>
      </c>
      <c r="AJ208">
        <v>227.33</v>
      </c>
      <c r="AK208">
        <v>76.459999999999994</v>
      </c>
      <c r="AL208">
        <v>-80.28</v>
      </c>
      <c r="AM208">
        <v>297.33</v>
      </c>
      <c r="AN208">
        <v>-80.28</v>
      </c>
      <c r="AO208">
        <v>147.05000000000001</v>
      </c>
      <c r="AP208">
        <v>147.05000000000001</v>
      </c>
      <c r="AQ208">
        <v>67.749365999999995</v>
      </c>
    </row>
    <row r="209" spans="1:43" x14ac:dyDescent="0.25">
      <c r="A209">
        <v>208</v>
      </c>
      <c r="B209" t="s">
        <v>71</v>
      </c>
      <c r="C209" t="s">
        <v>72</v>
      </c>
      <c r="D209" t="s">
        <v>73</v>
      </c>
      <c r="E209" t="s">
        <v>74</v>
      </c>
      <c r="F209">
        <v>240428713</v>
      </c>
      <c r="G209">
        <v>6583707</v>
      </c>
      <c r="H209" t="s">
        <v>101</v>
      </c>
      <c r="I209" t="s">
        <v>76</v>
      </c>
      <c r="J209" t="s">
        <v>101</v>
      </c>
      <c r="K209" t="s">
        <v>485</v>
      </c>
      <c r="L209" t="s">
        <v>285</v>
      </c>
      <c r="M209" t="s">
        <v>285</v>
      </c>
      <c r="N209" t="s">
        <v>286</v>
      </c>
      <c r="O209" t="s">
        <v>132</v>
      </c>
      <c r="P209" t="s">
        <v>77</v>
      </c>
      <c r="Q209" t="s">
        <v>82</v>
      </c>
      <c r="R209" t="s">
        <v>112</v>
      </c>
      <c r="S209" t="s">
        <v>84</v>
      </c>
      <c r="T209">
        <v>41201</v>
      </c>
      <c r="U209" t="s">
        <v>85</v>
      </c>
      <c r="V209">
        <v>51201</v>
      </c>
      <c r="W209" t="s">
        <v>81</v>
      </c>
      <c r="X209">
        <v>240428713</v>
      </c>
      <c r="Y209" t="s">
        <v>74</v>
      </c>
      <c r="Z209">
        <v>6</v>
      </c>
      <c r="AA209" t="s">
        <v>123</v>
      </c>
      <c r="AB209">
        <v>50</v>
      </c>
      <c r="AC209">
        <v>0</v>
      </c>
      <c r="AD209">
        <v>0</v>
      </c>
      <c r="AE209">
        <v>50</v>
      </c>
      <c r="AF209">
        <v>300</v>
      </c>
      <c r="AG209">
        <v>18</v>
      </c>
      <c r="AH209">
        <v>108</v>
      </c>
      <c r="AI209">
        <v>32</v>
      </c>
      <c r="AJ209">
        <v>192</v>
      </c>
      <c r="AK209">
        <v>64</v>
      </c>
      <c r="AL209">
        <v>-81</v>
      </c>
      <c r="AM209">
        <v>300</v>
      </c>
      <c r="AN209">
        <v>-81</v>
      </c>
      <c r="AO209">
        <v>18.5</v>
      </c>
      <c r="AP209">
        <v>111</v>
      </c>
      <c r="AQ209">
        <v>50.684930999999999</v>
      </c>
    </row>
    <row r="210" spans="1:43" x14ac:dyDescent="0.25">
      <c r="A210">
        <v>209</v>
      </c>
      <c r="B210" t="s">
        <v>71</v>
      </c>
      <c r="C210" t="s">
        <v>72</v>
      </c>
      <c r="D210" t="s">
        <v>73</v>
      </c>
      <c r="E210" t="s">
        <v>74</v>
      </c>
      <c r="F210">
        <v>240428713</v>
      </c>
      <c r="G210">
        <v>6583707</v>
      </c>
      <c r="H210" t="s">
        <v>101</v>
      </c>
      <c r="I210" t="s">
        <v>76</v>
      </c>
      <c r="J210" t="s">
        <v>101</v>
      </c>
      <c r="K210" t="s">
        <v>485</v>
      </c>
      <c r="L210" t="s">
        <v>285</v>
      </c>
      <c r="M210" t="s">
        <v>285</v>
      </c>
      <c r="N210" t="s">
        <v>286</v>
      </c>
      <c r="O210" t="s">
        <v>132</v>
      </c>
      <c r="P210" t="s">
        <v>77</v>
      </c>
      <c r="Q210" t="s">
        <v>78</v>
      </c>
      <c r="R210" t="s">
        <v>143</v>
      </c>
      <c r="S210" t="s">
        <v>79</v>
      </c>
      <c r="T210">
        <v>43201</v>
      </c>
      <c r="U210" t="s">
        <v>129</v>
      </c>
      <c r="V210">
        <v>51201</v>
      </c>
      <c r="W210" t="s">
        <v>81</v>
      </c>
      <c r="X210">
        <v>240428713</v>
      </c>
      <c r="Y210" t="s">
        <v>74</v>
      </c>
      <c r="Z210">
        <v>0</v>
      </c>
      <c r="AA210" t="s">
        <v>123</v>
      </c>
      <c r="AB210">
        <v>81</v>
      </c>
      <c r="AC210">
        <v>0</v>
      </c>
      <c r="AD210">
        <v>0</v>
      </c>
      <c r="AE210">
        <v>81</v>
      </c>
      <c r="AF210">
        <v>-81</v>
      </c>
      <c r="AG210">
        <v>0</v>
      </c>
      <c r="AH210">
        <v>0</v>
      </c>
      <c r="AI210">
        <v>81</v>
      </c>
      <c r="AJ210">
        <v>-81</v>
      </c>
      <c r="AK210">
        <v>0</v>
      </c>
      <c r="AL210">
        <v>-81</v>
      </c>
      <c r="AM210">
        <v>300</v>
      </c>
      <c r="AN210">
        <v>0</v>
      </c>
      <c r="AO210">
        <v>0</v>
      </c>
      <c r="AP210">
        <v>0</v>
      </c>
      <c r="AQ210">
        <v>0</v>
      </c>
    </row>
    <row r="211" spans="1:43" x14ac:dyDescent="0.25">
      <c r="A211">
        <v>210</v>
      </c>
      <c r="B211" t="s">
        <v>71</v>
      </c>
      <c r="C211" t="s">
        <v>72</v>
      </c>
      <c r="D211" t="s">
        <v>73</v>
      </c>
      <c r="E211" t="s">
        <v>74</v>
      </c>
      <c r="F211">
        <v>240428846</v>
      </c>
      <c r="G211">
        <v>6583840</v>
      </c>
      <c r="H211" t="s">
        <v>101</v>
      </c>
      <c r="I211" t="s">
        <v>76</v>
      </c>
      <c r="J211" t="s">
        <v>101</v>
      </c>
      <c r="K211" t="s">
        <v>486</v>
      </c>
      <c r="L211" t="s">
        <v>285</v>
      </c>
      <c r="M211" t="s">
        <v>285</v>
      </c>
      <c r="N211" t="s">
        <v>286</v>
      </c>
      <c r="O211" t="s">
        <v>10</v>
      </c>
      <c r="P211" t="s">
        <v>77</v>
      </c>
      <c r="Q211" t="s">
        <v>78</v>
      </c>
      <c r="R211" t="s">
        <v>143</v>
      </c>
      <c r="S211" t="s">
        <v>79</v>
      </c>
      <c r="T211">
        <v>43201</v>
      </c>
      <c r="U211" t="s">
        <v>129</v>
      </c>
      <c r="V211">
        <v>51201</v>
      </c>
      <c r="W211" t="s">
        <v>81</v>
      </c>
      <c r="X211">
        <v>240428846</v>
      </c>
      <c r="Y211" t="s">
        <v>74</v>
      </c>
      <c r="Z211">
        <v>0</v>
      </c>
      <c r="AA211" t="s">
        <v>152</v>
      </c>
      <c r="AB211">
        <v>110.28</v>
      </c>
      <c r="AC211">
        <v>-110.28</v>
      </c>
      <c r="AD211">
        <v>1.76</v>
      </c>
      <c r="AE211">
        <v>194.09</v>
      </c>
      <c r="AF211">
        <v>-194.09</v>
      </c>
      <c r="AG211">
        <v>0</v>
      </c>
      <c r="AH211">
        <v>0</v>
      </c>
      <c r="AI211">
        <v>194.09</v>
      </c>
      <c r="AJ211">
        <v>-194.09</v>
      </c>
      <c r="AK211">
        <v>0</v>
      </c>
      <c r="AL211">
        <v>-194.09</v>
      </c>
      <c r="AM211">
        <v>862.58</v>
      </c>
      <c r="AN211">
        <v>0</v>
      </c>
      <c r="AO211">
        <v>0</v>
      </c>
      <c r="AP211">
        <v>0</v>
      </c>
      <c r="AQ211">
        <v>0</v>
      </c>
    </row>
    <row r="212" spans="1:43" x14ac:dyDescent="0.25">
      <c r="A212">
        <v>211</v>
      </c>
      <c r="B212" t="s">
        <v>71</v>
      </c>
      <c r="C212" t="s">
        <v>72</v>
      </c>
      <c r="D212" t="s">
        <v>73</v>
      </c>
      <c r="E212" t="s">
        <v>74</v>
      </c>
      <c r="F212">
        <v>240428846</v>
      </c>
      <c r="G212">
        <v>6583840</v>
      </c>
      <c r="H212" t="s">
        <v>101</v>
      </c>
      <c r="I212" t="s">
        <v>76</v>
      </c>
      <c r="J212" t="s">
        <v>101</v>
      </c>
      <c r="K212" t="s">
        <v>486</v>
      </c>
      <c r="L212" t="s">
        <v>285</v>
      </c>
      <c r="M212" t="s">
        <v>285</v>
      </c>
      <c r="N212" t="s">
        <v>286</v>
      </c>
      <c r="O212" t="s">
        <v>10</v>
      </c>
      <c r="P212" t="s">
        <v>77</v>
      </c>
      <c r="Q212" t="s">
        <v>397</v>
      </c>
      <c r="R212" t="s">
        <v>398</v>
      </c>
      <c r="S212" t="s">
        <v>84</v>
      </c>
      <c r="T212">
        <v>41201</v>
      </c>
      <c r="U212" t="s">
        <v>85</v>
      </c>
      <c r="V212">
        <v>51201</v>
      </c>
      <c r="W212" t="s">
        <v>81</v>
      </c>
      <c r="X212">
        <v>240428846</v>
      </c>
      <c r="Y212" t="s">
        <v>74</v>
      </c>
      <c r="Z212">
        <v>1</v>
      </c>
      <c r="AA212" t="s">
        <v>152</v>
      </c>
      <c r="AB212">
        <v>490.1</v>
      </c>
      <c r="AC212">
        <v>490.1</v>
      </c>
      <c r="AD212">
        <v>1.76</v>
      </c>
      <c r="AE212">
        <v>862.58</v>
      </c>
      <c r="AF212">
        <v>862.58</v>
      </c>
      <c r="AG212">
        <v>391</v>
      </c>
      <c r="AH212">
        <v>391</v>
      </c>
      <c r="AI212">
        <v>471.58</v>
      </c>
      <c r="AJ212">
        <v>471.58</v>
      </c>
      <c r="AK212">
        <v>54.67</v>
      </c>
      <c r="AL212">
        <v>-194.09</v>
      </c>
      <c r="AM212">
        <v>862.58</v>
      </c>
      <c r="AN212">
        <v>-194.09</v>
      </c>
      <c r="AO212">
        <v>277.49</v>
      </c>
      <c r="AP212">
        <v>277.49</v>
      </c>
      <c r="AQ212">
        <v>41.509970000000003</v>
      </c>
    </row>
    <row r="213" spans="1:43" x14ac:dyDescent="0.25">
      <c r="A213">
        <v>212</v>
      </c>
      <c r="B213" t="s">
        <v>71</v>
      </c>
      <c r="C213" t="s">
        <v>72</v>
      </c>
      <c r="D213" t="s">
        <v>73</v>
      </c>
      <c r="E213" t="s">
        <v>74</v>
      </c>
      <c r="F213">
        <v>240428848</v>
      </c>
      <c r="G213">
        <v>6583842</v>
      </c>
      <c r="H213" t="s">
        <v>101</v>
      </c>
      <c r="I213" t="s">
        <v>76</v>
      </c>
      <c r="J213" t="s">
        <v>101</v>
      </c>
      <c r="K213" t="s">
        <v>487</v>
      </c>
      <c r="L213" t="s">
        <v>285</v>
      </c>
      <c r="M213" t="s">
        <v>285</v>
      </c>
      <c r="N213" t="s">
        <v>286</v>
      </c>
      <c r="O213" t="s">
        <v>130</v>
      </c>
      <c r="P213" t="s">
        <v>77</v>
      </c>
      <c r="Q213" t="s">
        <v>78</v>
      </c>
      <c r="R213" t="s">
        <v>143</v>
      </c>
      <c r="S213" t="s">
        <v>79</v>
      </c>
      <c r="T213">
        <v>43201</v>
      </c>
      <c r="U213" t="s">
        <v>129</v>
      </c>
      <c r="V213">
        <v>51201</v>
      </c>
      <c r="W213" t="s">
        <v>81</v>
      </c>
      <c r="X213">
        <v>240428848</v>
      </c>
      <c r="Y213" t="s">
        <v>74</v>
      </c>
      <c r="Z213">
        <v>0</v>
      </c>
      <c r="AA213" t="s">
        <v>147</v>
      </c>
      <c r="AB213">
        <v>12.96</v>
      </c>
      <c r="AC213">
        <v>-12.96</v>
      </c>
      <c r="AD213">
        <v>5.83</v>
      </c>
      <c r="AE213">
        <v>75.56</v>
      </c>
      <c r="AF213">
        <v>-75.56</v>
      </c>
      <c r="AG213">
        <v>0</v>
      </c>
      <c r="AH213">
        <v>0</v>
      </c>
      <c r="AI213">
        <v>75.56</v>
      </c>
      <c r="AJ213">
        <v>-75.56</v>
      </c>
      <c r="AK213">
        <v>0</v>
      </c>
      <c r="AL213">
        <v>-75.56</v>
      </c>
      <c r="AM213">
        <v>279.83999999999997</v>
      </c>
      <c r="AN213">
        <v>0</v>
      </c>
      <c r="AO213">
        <v>0</v>
      </c>
      <c r="AP213">
        <v>0</v>
      </c>
      <c r="AQ213">
        <v>0</v>
      </c>
    </row>
    <row r="214" spans="1:43" x14ac:dyDescent="0.25">
      <c r="A214">
        <v>213</v>
      </c>
      <c r="B214" t="s">
        <v>71</v>
      </c>
      <c r="C214" t="s">
        <v>72</v>
      </c>
      <c r="D214" t="s">
        <v>73</v>
      </c>
      <c r="E214" t="s">
        <v>74</v>
      </c>
      <c r="F214">
        <v>240428848</v>
      </c>
      <c r="G214">
        <v>6583842</v>
      </c>
      <c r="H214" t="s">
        <v>101</v>
      </c>
      <c r="I214" t="s">
        <v>76</v>
      </c>
      <c r="J214" t="s">
        <v>101</v>
      </c>
      <c r="K214" t="s">
        <v>487</v>
      </c>
      <c r="L214" t="s">
        <v>285</v>
      </c>
      <c r="M214" t="s">
        <v>285</v>
      </c>
      <c r="N214" t="s">
        <v>286</v>
      </c>
      <c r="O214" t="s">
        <v>130</v>
      </c>
      <c r="P214" t="s">
        <v>77</v>
      </c>
      <c r="Q214" t="s">
        <v>381</v>
      </c>
      <c r="R214" t="s">
        <v>382</v>
      </c>
      <c r="S214" t="s">
        <v>84</v>
      </c>
      <c r="T214">
        <v>41201</v>
      </c>
      <c r="U214" t="s">
        <v>85</v>
      </c>
      <c r="V214">
        <v>51201</v>
      </c>
      <c r="W214" t="s">
        <v>81</v>
      </c>
      <c r="X214">
        <v>240428848</v>
      </c>
      <c r="Y214" t="s">
        <v>74</v>
      </c>
      <c r="Z214">
        <v>1</v>
      </c>
      <c r="AA214" t="s">
        <v>147</v>
      </c>
      <c r="AB214">
        <v>48</v>
      </c>
      <c r="AC214">
        <v>48</v>
      </c>
      <c r="AD214">
        <v>5.83</v>
      </c>
      <c r="AE214">
        <v>279.83999999999997</v>
      </c>
      <c r="AF214">
        <v>279.83999999999997</v>
      </c>
      <c r="AG214">
        <v>62</v>
      </c>
      <c r="AH214">
        <v>62</v>
      </c>
      <c r="AI214">
        <v>217.84</v>
      </c>
      <c r="AJ214">
        <v>217.84</v>
      </c>
      <c r="AK214">
        <v>77.84</v>
      </c>
      <c r="AL214">
        <v>-75.56</v>
      </c>
      <c r="AM214">
        <v>279.83999999999997</v>
      </c>
      <c r="AN214">
        <v>-75.56</v>
      </c>
      <c r="AO214">
        <v>142.28</v>
      </c>
      <c r="AP214">
        <v>142.28</v>
      </c>
      <c r="AQ214">
        <v>69.649500000000003</v>
      </c>
    </row>
    <row r="215" spans="1:43" x14ac:dyDescent="0.25">
      <c r="A215">
        <v>214</v>
      </c>
      <c r="B215" t="s">
        <v>71</v>
      </c>
      <c r="C215" t="s">
        <v>72</v>
      </c>
      <c r="D215" t="s">
        <v>73</v>
      </c>
      <c r="E215" t="s">
        <v>74</v>
      </c>
      <c r="F215">
        <v>240428879</v>
      </c>
      <c r="G215">
        <v>6583873</v>
      </c>
      <c r="H215" t="s">
        <v>101</v>
      </c>
      <c r="I215" t="s">
        <v>76</v>
      </c>
      <c r="J215" t="s">
        <v>101</v>
      </c>
      <c r="K215" t="s">
        <v>488</v>
      </c>
      <c r="L215" t="s">
        <v>285</v>
      </c>
      <c r="M215" t="s">
        <v>285</v>
      </c>
      <c r="N215" t="s">
        <v>286</v>
      </c>
      <c r="O215" t="s">
        <v>132</v>
      </c>
      <c r="P215" t="s">
        <v>77</v>
      </c>
      <c r="Q215" t="s">
        <v>489</v>
      </c>
      <c r="R215" t="s">
        <v>490</v>
      </c>
      <c r="S215" t="s">
        <v>105</v>
      </c>
      <c r="T215">
        <v>41201</v>
      </c>
      <c r="U215" t="s">
        <v>85</v>
      </c>
      <c r="V215">
        <v>51201</v>
      </c>
      <c r="W215" t="s">
        <v>81</v>
      </c>
      <c r="X215">
        <v>240428879</v>
      </c>
      <c r="Y215" t="s">
        <v>74</v>
      </c>
      <c r="Z215">
        <v>2</v>
      </c>
      <c r="AA215" t="s">
        <v>123</v>
      </c>
      <c r="AB215">
        <v>292.5</v>
      </c>
      <c r="AC215">
        <v>0</v>
      </c>
      <c r="AD215">
        <v>0</v>
      </c>
      <c r="AE215">
        <v>292.5</v>
      </c>
      <c r="AF215">
        <v>585</v>
      </c>
      <c r="AG215">
        <v>101.66</v>
      </c>
      <c r="AH215">
        <v>203.32</v>
      </c>
      <c r="AI215">
        <v>190.84</v>
      </c>
      <c r="AJ215">
        <v>381.68</v>
      </c>
      <c r="AK215">
        <v>65.239999999999995</v>
      </c>
      <c r="AL215">
        <v>-157.94999999999999</v>
      </c>
      <c r="AM215">
        <v>585</v>
      </c>
      <c r="AN215">
        <v>-157.94999999999999</v>
      </c>
      <c r="AO215">
        <v>111.86499999999999</v>
      </c>
      <c r="AP215">
        <v>223.73</v>
      </c>
      <c r="AQ215">
        <v>52.389648999999999</v>
      </c>
    </row>
    <row r="216" spans="1:43" x14ac:dyDescent="0.25">
      <c r="A216">
        <v>215</v>
      </c>
      <c r="B216" t="s">
        <v>71</v>
      </c>
      <c r="C216" t="s">
        <v>72</v>
      </c>
      <c r="D216" t="s">
        <v>73</v>
      </c>
      <c r="E216" t="s">
        <v>74</v>
      </c>
      <c r="F216">
        <v>240428879</v>
      </c>
      <c r="G216">
        <v>6583873</v>
      </c>
      <c r="H216" t="s">
        <v>101</v>
      </c>
      <c r="I216" t="s">
        <v>76</v>
      </c>
      <c r="J216" t="s">
        <v>101</v>
      </c>
      <c r="K216" t="s">
        <v>488</v>
      </c>
      <c r="L216" t="s">
        <v>285</v>
      </c>
      <c r="M216" t="s">
        <v>285</v>
      </c>
      <c r="N216" t="s">
        <v>286</v>
      </c>
      <c r="O216" t="s">
        <v>132</v>
      </c>
      <c r="P216" t="s">
        <v>77</v>
      </c>
      <c r="Q216" t="s">
        <v>78</v>
      </c>
      <c r="R216" t="s">
        <v>143</v>
      </c>
      <c r="S216" t="s">
        <v>79</v>
      </c>
      <c r="T216">
        <v>43201</v>
      </c>
      <c r="U216" t="s">
        <v>129</v>
      </c>
      <c r="V216">
        <v>51201</v>
      </c>
      <c r="W216" t="s">
        <v>81</v>
      </c>
      <c r="X216">
        <v>240428879</v>
      </c>
      <c r="Y216" t="s">
        <v>74</v>
      </c>
      <c r="Z216">
        <v>0</v>
      </c>
      <c r="AA216" t="s">
        <v>123</v>
      </c>
      <c r="AB216">
        <v>157.94999999999999</v>
      </c>
      <c r="AC216">
        <v>0</v>
      </c>
      <c r="AD216">
        <v>0</v>
      </c>
      <c r="AE216">
        <v>157.94999999999999</v>
      </c>
      <c r="AF216">
        <v>-157.94999999999999</v>
      </c>
      <c r="AG216">
        <v>0</v>
      </c>
      <c r="AH216">
        <v>0</v>
      </c>
      <c r="AI216">
        <v>157.94999999999999</v>
      </c>
      <c r="AJ216">
        <v>-157.94999999999999</v>
      </c>
      <c r="AK216">
        <v>0</v>
      </c>
      <c r="AL216">
        <v>-157.94999999999999</v>
      </c>
      <c r="AM216">
        <v>585</v>
      </c>
      <c r="AN216">
        <v>0</v>
      </c>
      <c r="AO216">
        <v>0</v>
      </c>
      <c r="AP216">
        <v>0</v>
      </c>
      <c r="AQ216">
        <v>0</v>
      </c>
    </row>
    <row r="217" spans="1:43" x14ac:dyDescent="0.25">
      <c r="A217">
        <v>216</v>
      </c>
      <c r="B217" t="s">
        <v>71</v>
      </c>
      <c r="C217" t="s">
        <v>72</v>
      </c>
      <c r="D217" t="s">
        <v>73</v>
      </c>
      <c r="E217" t="s">
        <v>74</v>
      </c>
      <c r="F217">
        <v>240428890</v>
      </c>
      <c r="G217">
        <v>6583884</v>
      </c>
      <c r="H217" t="s">
        <v>101</v>
      </c>
      <c r="I217" t="s">
        <v>76</v>
      </c>
      <c r="J217" t="s">
        <v>101</v>
      </c>
      <c r="K217" t="s">
        <v>491</v>
      </c>
      <c r="L217" t="s">
        <v>285</v>
      </c>
      <c r="M217" t="s">
        <v>285</v>
      </c>
      <c r="N217" t="s">
        <v>286</v>
      </c>
      <c r="O217" t="s">
        <v>132</v>
      </c>
      <c r="P217" t="s">
        <v>77</v>
      </c>
      <c r="Q217" t="s">
        <v>82</v>
      </c>
      <c r="R217" t="s">
        <v>112</v>
      </c>
      <c r="S217" t="s">
        <v>84</v>
      </c>
      <c r="T217">
        <v>41201</v>
      </c>
      <c r="U217" t="s">
        <v>85</v>
      </c>
      <c r="V217">
        <v>51201</v>
      </c>
      <c r="W217" t="s">
        <v>81</v>
      </c>
      <c r="X217">
        <v>240428890</v>
      </c>
      <c r="Y217" t="s">
        <v>74</v>
      </c>
      <c r="Z217">
        <v>6</v>
      </c>
      <c r="AA217" t="s">
        <v>123</v>
      </c>
      <c r="AB217">
        <v>50</v>
      </c>
      <c r="AC217">
        <v>0</v>
      </c>
      <c r="AD217">
        <v>0</v>
      </c>
      <c r="AE217">
        <v>50</v>
      </c>
      <c r="AF217">
        <v>300</v>
      </c>
      <c r="AG217">
        <v>18</v>
      </c>
      <c r="AH217">
        <v>108</v>
      </c>
      <c r="AI217">
        <v>32</v>
      </c>
      <c r="AJ217">
        <v>192</v>
      </c>
      <c r="AK217">
        <v>64</v>
      </c>
      <c r="AL217">
        <v>-81</v>
      </c>
      <c r="AM217">
        <v>300</v>
      </c>
      <c r="AN217">
        <v>-81</v>
      </c>
      <c r="AO217">
        <v>18.5</v>
      </c>
      <c r="AP217">
        <v>111</v>
      </c>
      <c r="AQ217">
        <v>50.684930999999999</v>
      </c>
    </row>
    <row r="218" spans="1:43" x14ac:dyDescent="0.25">
      <c r="A218">
        <v>217</v>
      </c>
      <c r="B218" t="s">
        <v>71</v>
      </c>
      <c r="C218" t="s">
        <v>72</v>
      </c>
      <c r="D218" t="s">
        <v>73</v>
      </c>
      <c r="E218" t="s">
        <v>74</v>
      </c>
      <c r="F218">
        <v>240428890</v>
      </c>
      <c r="G218">
        <v>6583884</v>
      </c>
      <c r="H218" t="s">
        <v>101</v>
      </c>
      <c r="I218" t="s">
        <v>76</v>
      </c>
      <c r="J218" t="s">
        <v>101</v>
      </c>
      <c r="K218" t="s">
        <v>491</v>
      </c>
      <c r="L218" t="s">
        <v>285</v>
      </c>
      <c r="M218" t="s">
        <v>285</v>
      </c>
      <c r="N218" t="s">
        <v>286</v>
      </c>
      <c r="O218" t="s">
        <v>132</v>
      </c>
      <c r="P218" t="s">
        <v>77</v>
      </c>
      <c r="Q218" t="s">
        <v>78</v>
      </c>
      <c r="R218" t="s">
        <v>143</v>
      </c>
      <c r="S218" t="s">
        <v>79</v>
      </c>
      <c r="T218">
        <v>43201</v>
      </c>
      <c r="U218" t="s">
        <v>129</v>
      </c>
      <c r="V218">
        <v>51201</v>
      </c>
      <c r="W218" t="s">
        <v>81</v>
      </c>
      <c r="X218">
        <v>240428890</v>
      </c>
      <c r="Y218" t="s">
        <v>74</v>
      </c>
      <c r="Z218">
        <v>0</v>
      </c>
      <c r="AA218" t="s">
        <v>123</v>
      </c>
      <c r="AB218">
        <v>81</v>
      </c>
      <c r="AC218">
        <v>0</v>
      </c>
      <c r="AD218">
        <v>0</v>
      </c>
      <c r="AE218">
        <v>81</v>
      </c>
      <c r="AF218">
        <v>-81</v>
      </c>
      <c r="AG218">
        <v>0</v>
      </c>
      <c r="AH218">
        <v>0</v>
      </c>
      <c r="AI218">
        <v>81</v>
      </c>
      <c r="AJ218">
        <v>-81</v>
      </c>
      <c r="AK218">
        <v>0</v>
      </c>
      <c r="AL218">
        <v>-81</v>
      </c>
      <c r="AM218">
        <v>300</v>
      </c>
      <c r="AN218">
        <v>0</v>
      </c>
      <c r="AO218">
        <v>0</v>
      </c>
      <c r="AP218">
        <v>0</v>
      </c>
      <c r="AQ218">
        <v>0</v>
      </c>
    </row>
    <row r="219" spans="1:43" x14ac:dyDescent="0.25">
      <c r="A219">
        <v>218</v>
      </c>
      <c r="B219" t="s">
        <v>71</v>
      </c>
      <c r="C219" t="s">
        <v>72</v>
      </c>
      <c r="D219" t="s">
        <v>73</v>
      </c>
      <c r="E219" t="s">
        <v>74</v>
      </c>
      <c r="F219">
        <v>240429125</v>
      </c>
      <c r="G219">
        <v>6584119</v>
      </c>
      <c r="H219" t="s">
        <v>101</v>
      </c>
      <c r="I219" t="s">
        <v>76</v>
      </c>
      <c r="J219" t="s">
        <v>101</v>
      </c>
      <c r="K219" t="s">
        <v>492</v>
      </c>
      <c r="L219" t="s">
        <v>285</v>
      </c>
      <c r="M219" t="s">
        <v>285</v>
      </c>
      <c r="N219" t="s">
        <v>286</v>
      </c>
      <c r="O219" t="s">
        <v>130</v>
      </c>
      <c r="P219" t="s">
        <v>77</v>
      </c>
      <c r="Q219" t="s">
        <v>493</v>
      </c>
      <c r="R219" t="s">
        <v>494</v>
      </c>
      <c r="S219" t="s">
        <v>84</v>
      </c>
      <c r="T219">
        <v>41201</v>
      </c>
      <c r="U219" t="s">
        <v>85</v>
      </c>
      <c r="V219">
        <v>51201</v>
      </c>
      <c r="W219" t="s">
        <v>81</v>
      </c>
      <c r="X219">
        <v>240429125</v>
      </c>
      <c r="Y219" t="s">
        <v>74</v>
      </c>
      <c r="Z219">
        <v>2</v>
      </c>
      <c r="AA219" t="s">
        <v>147</v>
      </c>
      <c r="AB219">
        <v>111</v>
      </c>
      <c r="AC219">
        <v>222</v>
      </c>
      <c r="AD219">
        <v>5.83</v>
      </c>
      <c r="AE219">
        <v>647.13</v>
      </c>
      <c r="AF219">
        <v>1294.26</v>
      </c>
      <c r="AG219">
        <v>220</v>
      </c>
      <c r="AH219">
        <v>440</v>
      </c>
      <c r="AI219">
        <v>427.13</v>
      </c>
      <c r="AJ219">
        <v>854.26</v>
      </c>
      <c r="AK219">
        <v>66</v>
      </c>
      <c r="AL219">
        <v>-291.27</v>
      </c>
      <c r="AM219">
        <v>1294.26</v>
      </c>
      <c r="AN219">
        <v>-291.27</v>
      </c>
      <c r="AO219">
        <v>281.495</v>
      </c>
      <c r="AP219">
        <v>562.99</v>
      </c>
      <c r="AQ219">
        <v>56.131166999999998</v>
      </c>
    </row>
    <row r="220" spans="1:43" x14ac:dyDescent="0.25">
      <c r="A220">
        <v>219</v>
      </c>
      <c r="B220" t="s">
        <v>71</v>
      </c>
      <c r="C220" t="s">
        <v>72</v>
      </c>
      <c r="D220" t="s">
        <v>73</v>
      </c>
      <c r="E220" t="s">
        <v>74</v>
      </c>
      <c r="F220">
        <v>240429125</v>
      </c>
      <c r="G220">
        <v>6584119</v>
      </c>
      <c r="H220" t="s">
        <v>101</v>
      </c>
      <c r="I220" t="s">
        <v>76</v>
      </c>
      <c r="J220" t="s">
        <v>101</v>
      </c>
      <c r="K220" t="s">
        <v>492</v>
      </c>
      <c r="L220" t="s">
        <v>285</v>
      </c>
      <c r="M220" t="s">
        <v>285</v>
      </c>
      <c r="N220" t="s">
        <v>286</v>
      </c>
      <c r="O220" t="s">
        <v>130</v>
      </c>
      <c r="P220" t="s">
        <v>77</v>
      </c>
      <c r="Q220" t="s">
        <v>78</v>
      </c>
      <c r="R220" t="s">
        <v>143</v>
      </c>
      <c r="S220" t="s">
        <v>79</v>
      </c>
      <c r="T220">
        <v>43201</v>
      </c>
      <c r="U220" t="s">
        <v>129</v>
      </c>
      <c r="V220">
        <v>51201</v>
      </c>
      <c r="W220" t="s">
        <v>81</v>
      </c>
      <c r="X220">
        <v>240429125</v>
      </c>
      <c r="Y220" t="s">
        <v>74</v>
      </c>
      <c r="Z220">
        <v>0</v>
      </c>
      <c r="AA220" t="s">
        <v>147</v>
      </c>
      <c r="AB220">
        <v>49.96</v>
      </c>
      <c r="AC220">
        <v>-49.96</v>
      </c>
      <c r="AD220">
        <v>5.83</v>
      </c>
      <c r="AE220">
        <v>291.27</v>
      </c>
      <c r="AF220">
        <v>-291.27</v>
      </c>
      <c r="AG220">
        <v>0</v>
      </c>
      <c r="AH220">
        <v>0</v>
      </c>
      <c r="AI220">
        <v>291.27</v>
      </c>
      <c r="AJ220">
        <v>-291.27</v>
      </c>
      <c r="AK220">
        <v>0</v>
      </c>
      <c r="AL220">
        <v>-291.27</v>
      </c>
      <c r="AM220">
        <v>1294.26</v>
      </c>
      <c r="AN220">
        <v>0</v>
      </c>
      <c r="AO220">
        <v>0</v>
      </c>
      <c r="AP220">
        <v>0</v>
      </c>
      <c r="AQ220">
        <v>0</v>
      </c>
    </row>
    <row r="221" spans="1:43" x14ac:dyDescent="0.25">
      <c r="A221">
        <v>220</v>
      </c>
      <c r="B221" t="s">
        <v>71</v>
      </c>
      <c r="C221" t="s">
        <v>72</v>
      </c>
      <c r="D221" t="s">
        <v>73</v>
      </c>
      <c r="E221" t="s">
        <v>74</v>
      </c>
      <c r="F221">
        <v>240429275</v>
      </c>
      <c r="G221">
        <v>6584269</v>
      </c>
      <c r="H221" t="s">
        <v>101</v>
      </c>
      <c r="I221" t="s">
        <v>76</v>
      </c>
      <c r="J221" t="s">
        <v>101</v>
      </c>
      <c r="K221" t="s">
        <v>495</v>
      </c>
      <c r="L221" t="s">
        <v>285</v>
      </c>
      <c r="M221" t="s">
        <v>285</v>
      </c>
      <c r="N221" t="s">
        <v>286</v>
      </c>
      <c r="O221" t="s">
        <v>130</v>
      </c>
      <c r="P221" t="s">
        <v>77</v>
      </c>
      <c r="Q221" t="s">
        <v>220</v>
      </c>
      <c r="R221" t="s">
        <v>221</v>
      </c>
      <c r="S221" t="s">
        <v>84</v>
      </c>
      <c r="T221">
        <v>41201</v>
      </c>
      <c r="U221" t="s">
        <v>85</v>
      </c>
      <c r="V221">
        <v>51201</v>
      </c>
      <c r="W221" t="s">
        <v>81</v>
      </c>
      <c r="X221">
        <v>240429275</v>
      </c>
      <c r="Y221" t="s">
        <v>74</v>
      </c>
      <c r="Z221">
        <v>1</v>
      </c>
      <c r="AA221" t="s">
        <v>147</v>
      </c>
      <c r="AB221">
        <v>76</v>
      </c>
      <c r="AC221">
        <v>76</v>
      </c>
      <c r="AD221">
        <v>5.83</v>
      </c>
      <c r="AE221">
        <v>443.08</v>
      </c>
      <c r="AF221">
        <v>443.08</v>
      </c>
      <c r="AG221">
        <v>149.47</v>
      </c>
      <c r="AH221">
        <v>149.47</v>
      </c>
      <c r="AI221">
        <v>293.61</v>
      </c>
      <c r="AJ221">
        <v>293.61</v>
      </c>
      <c r="AK221">
        <v>66.27</v>
      </c>
      <c r="AL221">
        <v>-79.75</v>
      </c>
      <c r="AM221">
        <v>443.08</v>
      </c>
      <c r="AN221">
        <v>-79.75</v>
      </c>
      <c r="AO221">
        <v>213.86</v>
      </c>
      <c r="AP221">
        <v>213.86</v>
      </c>
      <c r="AQ221">
        <v>58.861089999999997</v>
      </c>
    </row>
    <row r="222" spans="1:43" x14ac:dyDescent="0.25">
      <c r="A222">
        <v>221</v>
      </c>
      <c r="B222" t="s">
        <v>71</v>
      </c>
      <c r="C222" t="s">
        <v>72</v>
      </c>
      <c r="D222" t="s">
        <v>73</v>
      </c>
      <c r="E222" t="s">
        <v>74</v>
      </c>
      <c r="F222">
        <v>240429275</v>
      </c>
      <c r="G222">
        <v>6584269</v>
      </c>
      <c r="H222" t="s">
        <v>101</v>
      </c>
      <c r="I222" t="s">
        <v>76</v>
      </c>
      <c r="J222" t="s">
        <v>101</v>
      </c>
      <c r="K222" t="s">
        <v>495</v>
      </c>
      <c r="L222" t="s">
        <v>285</v>
      </c>
      <c r="M222" t="s">
        <v>285</v>
      </c>
      <c r="N222" t="s">
        <v>286</v>
      </c>
      <c r="O222" t="s">
        <v>130</v>
      </c>
      <c r="P222" t="s">
        <v>77</v>
      </c>
      <c r="Q222" t="s">
        <v>78</v>
      </c>
      <c r="R222" t="s">
        <v>143</v>
      </c>
      <c r="S222" t="s">
        <v>79</v>
      </c>
      <c r="T222">
        <v>43201</v>
      </c>
      <c r="U222" t="s">
        <v>129</v>
      </c>
      <c r="V222">
        <v>51201</v>
      </c>
      <c r="W222" t="s">
        <v>81</v>
      </c>
      <c r="X222">
        <v>240429275</v>
      </c>
      <c r="Y222" t="s">
        <v>74</v>
      </c>
      <c r="Z222">
        <v>0</v>
      </c>
      <c r="AA222" t="s">
        <v>147</v>
      </c>
      <c r="AB222">
        <v>13.68</v>
      </c>
      <c r="AC222">
        <v>-13.68</v>
      </c>
      <c r="AD222">
        <v>5.83</v>
      </c>
      <c r="AE222">
        <v>79.75</v>
      </c>
      <c r="AF222">
        <v>-79.75</v>
      </c>
      <c r="AG222">
        <v>0</v>
      </c>
      <c r="AH222">
        <v>0</v>
      </c>
      <c r="AI222">
        <v>79.75</v>
      </c>
      <c r="AJ222">
        <v>-79.75</v>
      </c>
      <c r="AK222">
        <v>0</v>
      </c>
      <c r="AL222">
        <v>-79.75</v>
      </c>
      <c r="AM222">
        <v>443.08</v>
      </c>
      <c r="AN222">
        <v>0</v>
      </c>
      <c r="AO222">
        <v>0</v>
      </c>
      <c r="AP222">
        <v>0</v>
      </c>
      <c r="AQ222">
        <v>0</v>
      </c>
    </row>
    <row r="223" spans="1:43" x14ac:dyDescent="0.25">
      <c r="A223">
        <v>222</v>
      </c>
      <c r="B223" t="s">
        <v>71</v>
      </c>
      <c r="C223" t="s">
        <v>72</v>
      </c>
      <c r="D223" t="s">
        <v>73</v>
      </c>
      <c r="E223" t="s">
        <v>74</v>
      </c>
      <c r="F223">
        <v>240429288</v>
      </c>
      <c r="G223">
        <v>6584282</v>
      </c>
      <c r="H223" t="s">
        <v>101</v>
      </c>
      <c r="I223" t="s">
        <v>76</v>
      </c>
      <c r="J223" t="s">
        <v>101</v>
      </c>
      <c r="K223" t="s">
        <v>496</v>
      </c>
      <c r="L223" t="s">
        <v>285</v>
      </c>
      <c r="M223" t="s">
        <v>285</v>
      </c>
      <c r="N223" t="s">
        <v>286</v>
      </c>
      <c r="O223" t="s">
        <v>132</v>
      </c>
      <c r="P223" t="s">
        <v>77</v>
      </c>
      <c r="Q223" t="s">
        <v>78</v>
      </c>
      <c r="R223" t="s">
        <v>143</v>
      </c>
      <c r="S223" t="s">
        <v>79</v>
      </c>
      <c r="T223">
        <v>43201</v>
      </c>
      <c r="U223" t="s">
        <v>129</v>
      </c>
      <c r="V223">
        <v>51201</v>
      </c>
      <c r="W223" t="s">
        <v>81</v>
      </c>
      <c r="X223">
        <v>240429288</v>
      </c>
      <c r="Y223" t="s">
        <v>74</v>
      </c>
      <c r="Z223">
        <v>0</v>
      </c>
      <c r="AA223" t="s">
        <v>123</v>
      </c>
      <c r="AB223">
        <v>301.05</v>
      </c>
      <c r="AC223">
        <v>0</v>
      </c>
      <c r="AD223">
        <v>0</v>
      </c>
      <c r="AE223">
        <v>301.05</v>
      </c>
      <c r="AF223">
        <v>-301.05</v>
      </c>
      <c r="AG223">
        <v>0</v>
      </c>
      <c r="AH223">
        <v>0</v>
      </c>
      <c r="AI223">
        <v>301.05</v>
      </c>
      <c r="AJ223">
        <v>-301.05</v>
      </c>
      <c r="AK223">
        <v>0</v>
      </c>
      <c r="AL223">
        <v>-301.05</v>
      </c>
      <c r="AM223">
        <v>1115</v>
      </c>
      <c r="AN223">
        <v>0</v>
      </c>
      <c r="AO223">
        <v>0</v>
      </c>
      <c r="AP223">
        <v>0</v>
      </c>
      <c r="AQ223">
        <v>0</v>
      </c>
    </row>
    <row r="224" spans="1:43" x14ac:dyDescent="0.25">
      <c r="A224">
        <v>223</v>
      </c>
      <c r="B224" t="s">
        <v>71</v>
      </c>
      <c r="C224" t="s">
        <v>72</v>
      </c>
      <c r="D224" t="s">
        <v>73</v>
      </c>
      <c r="E224" t="s">
        <v>74</v>
      </c>
      <c r="F224">
        <v>240429288</v>
      </c>
      <c r="G224">
        <v>6584282</v>
      </c>
      <c r="H224" t="s">
        <v>101</v>
      </c>
      <c r="I224" t="s">
        <v>76</v>
      </c>
      <c r="J224" t="s">
        <v>101</v>
      </c>
      <c r="K224" t="s">
        <v>496</v>
      </c>
      <c r="L224" t="s">
        <v>285</v>
      </c>
      <c r="M224" t="s">
        <v>285</v>
      </c>
      <c r="N224" t="s">
        <v>286</v>
      </c>
      <c r="O224" t="s">
        <v>132</v>
      </c>
      <c r="P224" t="s">
        <v>77</v>
      </c>
      <c r="Q224" t="s">
        <v>497</v>
      </c>
      <c r="R224" t="s">
        <v>498</v>
      </c>
      <c r="S224" t="s">
        <v>84</v>
      </c>
      <c r="T224">
        <v>41201</v>
      </c>
      <c r="U224" t="s">
        <v>85</v>
      </c>
      <c r="V224">
        <v>51201</v>
      </c>
      <c r="W224" t="s">
        <v>81</v>
      </c>
      <c r="X224">
        <v>240429288</v>
      </c>
      <c r="Y224" t="s">
        <v>74</v>
      </c>
      <c r="Z224">
        <v>1</v>
      </c>
      <c r="AA224" t="s">
        <v>123</v>
      </c>
      <c r="AB224">
        <v>1115</v>
      </c>
      <c r="AC224">
        <v>0</v>
      </c>
      <c r="AD224">
        <v>0</v>
      </c>
      <c r="AE224">
        <v>1115</v>
      </c>
      <c r="AF224">
        <v>1115</v>
      </c>
      <c r="AG224">
        <v>441.73</v>
      </c>
      <c r="AH224">
        <v>441.73</v>
      </c>
      <c r="AI224">
        <v>673.27</v>
      </c>
      <c r="AJ224">
        <v>673.27</v>
      </c>
      <c r="AK224">
        <v>60.38</v>
      </c>
      <c r="AL224">
        <v>-301.05</v>
      </c>
      <c r="AM224">
        <v>1115</v>
      </c>
      <c r="AN224">
        <v>-301.05</v>
      </c>
      <c r="AO224">
        <v>372.22</v>
      </c>
      <c r="AP224">
        <v>372.22</v>
      </c>
      <c r="AQ224">
        <v>45.730080999999998</v>
      </c>
    </row>
    <row r="225" spans="1:43" x14ac:dyDescent="0.25">
      <c r="A225">
        <v>224</v>
      </c>
      <c r="B225" t="s">
        <v>71</v>
      </c>
      <c r="C225" t="s">
        <v>72</v>
      </c>
      <c r="D225" t="s">
        <v>73</v>
      </c>
      <c r="E225" t="s">
        <v>74</v>
      </c>
      <c r="F225">
        <v>240429395</v>
      </c>
      <c r="G225">
        <v>6584389</v>
      </c>
      <c r="H225" t="s">
        <v>101</v>
      </c>
      <c r="I225" t="s">
        <v>76</v>
      </c>
      <c r="J225" t="s">
        <v>101</v>
      </c>
      <c r="K225" t="s">
        <v>499</v>
      </c>
      <c r="L225" t="s">
        <v>285</v>
      </c>
      <c r="M225" t="s">
        <v>285</v>
      </c>
      <c r="N225" t="s">
        <v>286</v>
      </c>
      <c r="O225" t="s">
        <v>10</v>
      </c>
      <c r="P225" t="s">
        <v>77</v>
      </c>
      <c r="Q225" t="s">
        <v>170</v>
      </c>
      <c r="R225" t="s">
        <v>171</v>
      </c>
      <c r="S225" t="s">
        <v>84</v>
      </c>
      <c r="T225">
        <v>41201</v>
      </c>
      <c r="U225" t="s">
        <v>85</v>
      </c>
      <c r="V225">
        <v>51201</v>
      </c>
      <c r="W225" t="s">
        <v>81</v>
      </c>
      <c r="X225">
        <v>240429395</v>
      </c>
      <c r="Y225" t="s">
        <v>74</v>
      </c>
      <c r="Z225">
        <v>2</v>
      </c>
      <c r="AA225" t="s">
        <v>152</v>
      </c>
      <c r="AB225">
        <v>131.19999999999999</v>
      </c>
      <c r="AC225">
        <v>262.39999999999998</v>
      </c>
      <c r="AD225">
        <v>1.76</v>
      </c>
      <c r="AE225">
        <v>230.91</v>
      </c>
      <c r="AF225">
        <v>461.82</v>
      </c>
      <c r="AG225">
        <v>84</v>
      </c>
      <c r="AH225">
        <v>168</v>
      </c>
      <c r="AI225">
        <v>146.91</v>
      </c>
      <c r="AJ225">
        <v>293.82</v>
      </c>
      <c r="AK225">
        <v>63.62</v>
      </c>
      <c r="AL225">
        <v>-124.7</v>
      </c>
      <c r="AM225">
        <v>461.82</v>
      </c>
      <c r="AN225">
        <v>-124.7</v>
      </c>
      <c r="AO225">
        <v>84.56</v>
      </c>
      <c r="AP225">
        <v>169.12</v>
      </c>
      <c r="AQ225">
        <v>50.166111999999998</v>
      </c>
    </row>
    <row r="226" spans="1:43" x14ac:dyDescent="0.25">
      <c r="A226">
        <v>225</v>
      </c>
      <c r="B226" t="s">
        <v>71</v>
      </c>
      <c r="C226" t="s">
        <v>72</v>
      </c>
      <c r="D226" t="s">
        <v>73</v>
      </c>
      <c r="E226" t="s">
        <v>74</v>
      </c>
      <c r="F226">
        <v>240429395</v>
      </c>
      <c r="G226">
        <v>6584389</v>
      </c>
      <c r="H226" t="s">
        <v>101</v>
      </c>
      <c r="I226" t="s">
        <v>76</v>
      </c>
      <c r="J226" t="s">
        <v>101</v>
      </c>
      <c r="K226" t="s">
        <v>499</v>
      </c>
      <c r="L226" t="s">
        <v>285</v>
      </c>
      <c r="M226" t="s">
        <v>285</v>
      </c>
      <c r="N226" t="s">
        <v>286</v>
      </c>
      <c r="O226" t="s">
        <v>10</v>
      </c>
      <c r="P226" t="s">
        <v>77</v>
      </c>
      <c r="Q226" t="s">
        <v>78</v>
      </c>
      <c r="R226" t="s">
        <v>143</v>
      </c>
      <c r="S226" t="s">
        <v>79</v>
      </c>
      <c r="T226">
        <v>43201</v>
      </c>
      <c r="U226" t="s">
        <v>129</v>
      </c>
      <c r="V226">
        <v>51201</v>
      </c>
      <c r="W226" t="s">
        <v>81</v>
      </c>
      <c r="X226">
        <v>240429395</v>
      </c>
      <c r="Y226" t="s">
        <v>74</v>
      </c>
      <c r="Z226">
        <v>0</v>
      </c>
      <c r="AA226" t="s">
        <v>152</v>
      </c>
      <c r="AB226">
        <v>70.849999999999994</v>
      </c>
      <c r="AC226">
        <v>-70.849999999999994</v>
      </c>
      <c r="AD226">
        <v>1.76</v>
      </c>
      <c r="AE226">
        <v>124.7</v>
      </c>
      <c r="AF226">
        <v>-124.7</v>
      </c>
      <c r="AG226">
        <v>0</v>
      </c>
      <c r="AH226">
        <v>0</v>
      </c>
      <c r="AI226">
        <v>124.7</v>
      </c>
      <c r="AJ226">
        <v>-124.7</v>
      </c>
      <c r="AK226">
        <v>0</v>
      </c>
      <c r="AL226">
        <v>-124.7</v>
      </c>
      <c r="AM226">
        <v>461.82</v>
      </c>
      <c r="AN226">
        <v>0</v>
      </c>
      <c r="AO226">
        <v>0</v>
      </c>
      <c r="AP226">
        <v>0</v>
      </c>
      <c r="AQ226">
        <v>0</v>
      </c>
    </row>
    <row r="227" spans="1:43" x14ac:dyDescent="0.25">
      <c r="A227">
        <v>226</v>
      </c>
      <c r="B227" t="s">
        <v>71</v>
      </c>
      <c r="C227" t="s">
        <v>72</v>
      </c>
      <c r="D227" t="s">
        <v>73</v>
      </c>
      <c r="E227" t="s">
        <v>74</v>
      </c>
      <c r="F227">
        <v>240429466</v>
      </c>
      <c r="G227">
        <v>6584460</v>
      </c>
      <c r="H227" t="s">
        <v>101</v>
      </c>
      <c r="I227" t="s">
        <v>76</v>
      </c>
      <c r="J227" t="s">
        <v>101</v>
      </c>
      <c r="K227" t="s">
        <v>500</v>
      </c>
      <c r="L227" t="s">
        <v>285</v>
      </c>
      <c r="M227" t="s">
        <v>285</v>
      </c>
      <c r="N227" t="s">
        <v>286</v>
      </c>
      <c r="O227" t="s">
        <v>10</v>
      </c>
      <c r="P227" t="s">
        <v>77</v>
      </c>
      <c r="Q227" t="s">
        <v>82</v>
      </c>
      <c r="R227" t="s">
        <v>112</v>
      </c>
      <c r="S227" t="s">
        <v>84</v>
      </c>
      <c r="T227">
        <v>41201</v>
      </c>
      <c r="U227" t="s">
        <v>85</v>
      </c>
      <c r="V227">
        <v>51201</v>
      </c>
      <c r="W227" t="s">
        <v>81</v>
      </c>
      <c r="X227">
        <v>240429466</v>
      </c>
      <c r="Y227" t="s">
        <v>74</v>
      </c>
      <c r="Z227">
        <v>6</v>
      </c>
      <c r="AA227" t="s">
        <v>152</v>
      </c>
      <c r="AB227">
        <v>31.18</v>
      </c>
      <c r="AC227">
        <v>187.08</v>
      </c>
      <c r="AD227">
        <v>1.76</v>
      </c>
      <c r="AE227">
        <v>54.876666</v>
      </c>
      <c r="AF227">
        <v>329.26</v>
      </c>
      <c r="AG227">
        <v>18</v>
      </c>
      <c r="AH227">
        <v>108</v>
      </c>
      <c r="AI227">
        <v>36.880000000000003</v>
      </c>
      <c r="AJ227">
        <v>221.26</v>
      </c>
      <c r="AK227">
        <v>67.2</v>
      </c>
      <c r="AL227">
        <v>0</v>
      </c>
      <c r="AM227">
        <v>329.26</v>
      </c>
      <c r="AN227">
        <v>0</v>
      </c>
      <c r="AO227">
        <v>36.876666</v>
      </c>
      <c r="AP227">
        <v>221.26</v>
      </c>
      <c r="AQ227">
        <v>67.199173000000002</v>
      </c>
    </row>
    <row r="228" spans="1:43" x14ac:dyDescent="0.25">
      <c r="A228">
        <v>227</v>
      </c>
      <c r="B228" t="s">
        <v>71</v>
      </c>
      <c r="C228" t="s">
        <v>72</v>
      </c>
      <c r="D228" t="s">
        <v>73</v>
      </c>
      <c r="E228" t="s">
        <v>74</v>
      </c>
      <c r="F228">
        <v>240429474</v>
      </c>
      <c r="G228">
        <v>6584468</v>
      </c>
      <c r="H228" t="s">
        <v>101</v>
      </c>
      <c r="I228" t="s">
        <v>76</v>
      </c>
      <c r="J228" t="s">
        <v>101</v>
      </c>
      <c r="K228" t="s">
        <v>501</v>
      </c>
      <c r="L228" t="s">
        <v>285</v>
      </c>
      <c r="M228" t="s">
        <v>285</v>
      </c>
      <c r="N228" t="s">
        <v>286</v>
      </c>
      <c r="O228" t="s">
        <v>130</v>
      </c>
      <c r="P228" t="s">
        <v>77</v>
      </c>
      <c r="Q228" t="s">
        <v>334</v>
      </c>
      <c r="R228" t="s">
        <v>335</v>
      </c>
      <c r="S228" t="s">
        <v>84</v>
      </c>
      <c r="T228">
        <v>41201</v>
      </c>
      <c r="U228" t="s">
        <v>85</v>
      </c>
      <c r="V228">
        <v>51201</v>
      </c>
      <c r="W228" t="s">
        <v>81</v>
      </c>
      <c r="X228">
        <v>240429474</v>
      </c>
      <c r="Y228" t="s">
        <v>74</v>
      </c>
      <c r="Z228">
        <v>1</v>
      </c>
      <c r="AA228" t="s">
        <v>147</v>
      </c>
      <c r="AB228">
        <v>53</v>
      </c>
      <c r="AC228">
        <v>53</v>
      </c>
      <c r="AD228">
        <v>5.83</v>
      </c>
      <c r="AE228">
        <v>308.99</v>
      </c>
      <c r="AF228">
        <v>308.99</v>
      </c>
      <c r="AG228">
        <v>141.35</v>
      </c>
      <c r="AH228">
        <v>141.35</v>
      </c>
      <c r="AI228">
        <v>167.64</v>
      </c>
      <c r="AJ228">
        <v>167.64</v>
      </c>
      <c r="AK228">
        <v>54.25</v>
      </c>
      <c r="AL228">
        <v>0</v>
      </c>
      <c r="AM228">
        <v>308.99</v>
      </c>
      <c r="AN228">
        <v>0</v>
      </c>
      <c r="AO228">
        <v>167.64</v>
      </c>
      <c r="AP228">
        <v>167.64</v>
      </c>
      <c r="AQ228">
        <v>54.254182</v>
      </c>
    </row>
    <row r="229" spans="1:43" x14ac:dyDescent="0.25">
      <c r="A229">
        <v>228</v>
      </c>
      <c r="B229" t="s">
        <v>71</v>
      </c>
      <c r="C229" t="s">
        <v>72</v>
      </c>
      <c r="D229" t="s">
        <v>73</v>
      </c>
      <c r="E229" t="s">
        <v>74</v>
      </c>
      <c r="F229">
        <v>240429476</v>
      </c>
      <c r="G229">
        <v>6584470</v>
      </c>
      <c r="H229" t="s">
        <v>101</v>
      </c>
      <c r="I229" t="s">
        <v>76</v>
      </c>
      <c r="J229" t="s">
        <v>101</v>
      </c>
      <c r="K229" t="s">
        <v>502</v>
      </c>
      <c r="L229" t="s">
        <v>285</v>
      </c>
      <c r="M229" t="s">
        <v>285</v>
      </c>
      <c r="N229" t="s">
        <v>286</v>
      </c>
      <c r="O229" t="s">
        <v>10</v>
      </c>
      <c r="P229" t="s">
        <v>77</v>
      </c>
      <c r="Q229" t="s">
        <v>78</v>
      </c>
      <c r="R229" t="s">
        <v>143</v>
      </c>
      <c r="S229" t="s">
        <v>79</v>
      </c>
      <c r="T229">
        <v>43201</v>
      </c>
      <c r="U229" t="s">
        <v>129</v>
      </c>
      <c r="V229">
        <v>51201</v>
      </c>
      <c r="W229" t="s">
        <v>81</v>
      </c>
      <c r="X229">
        <v>240429476</v>
      </c>
      <c r="Y229" t="s">
        <v>74</v>
      </c>
      <c r="Z229">
        <v>0</v>
      </c>
      <c r="AA229" t="s">
        <v>152</v>
      </c>
      <c r="AB229">
        <v>79.09</v>
      </c>
      <c r="AC229">
        <v>-79.09</v>
      </c>
      <c r="AD229">
        <v>1.76</v>
      </c>
      <c r="AE229">
        <v>139.19999999999999</v>
      </c>
      <c r="AF229">
        <v>-139.19999999999999</v>
      </c>
      <c r="AG229">
        <v>0</v>
      </c>
      <c r="AH229">
        <v>0</v>
      </c>
      <c r="AI229">
        <v>139.19999999999999</v>
      </c>
      <c r="AJ229">
        <v>-139.19999999999999</v>
      </c>
      <c r="AK229">
        <v>0</v>
      </c>
      <c r="AL229">
        <v>-139.19999999999999</v>
      </c>
      <c r="AM229">
        <v>618.66</v>
      </c>
      <c r="AN229">
        <v>0</v>
      </c>
      <c r="AO229">
        <v>0</v>
      </c>
      <c r="AP229">
        <v>0</v>
      </c>
      <c r="AQ229">
        <v>0</v>
      </c>
    </row>
    <row r="230" spans="1:43" x14ac:dyDescent="0.25">
      <c r="A230">
        <v>229</v>
      </c>
      <c r="B230" t="s">
        <v>71</v>
      </c>
      <c r="C230" t="s">
        <v>72</v>
      </c>
      <c r="D230" t="s">
        <v>73</v>
      </c>
      <c r="E230" t="s">
        <v>74</v>
      </c>
      <c r="F230">
        <v>240429476</v>
      </c>
      <c r="G230">
        <v>6584470</v>
      </c>
      <c r="H230" t="s">
        <v>101</v>
      </c>
      <c r="I230" t="s">
        <v>76</v>
      </c>
      <c r="J230" t="s">
        <v>101</v>
      </c>
      <c r="K230" t="s">
        <v>502</v>
      </c>
      <c r="L230" t="s">
        <v>285</v>
      </c>
      <c r="M230" t="s">
        <v>285</v>
      </c>
      <c r="N230" t="s">
        <v>286</v>
      </c>
      <c r="O230" t="s">
        <v>10</v>
      </c>
      <c r="P230" t="s">
        <v>77</v>
      </c>
      <c r="Q230" t="s">
        <v>404</v>
      </c>
      <c r="R230" t="s">
        <v>405</v>
      </c>
      <c r="S230" t="s">
        <v>105</v>
      </c>
      <c r="T230">
        <v>41201</v>
      </c>
      <c r="U230" t="s">
        <v>85</v>
      </c>
      <c r="V230">
        <v>51201</v>
      </c>
      <c r="W230" t="s">
        <v>81</v>
      </c>
      <c r="X230">
        <v>240429476</v>
      </c>
      <c r="Y230" t="s">
        <v>74</v>
      </c>
      <c r="Z230">
        <v>1</v>
      </c>
      <c r="AA230" t="s">
        <v>152</v>
      </c>
      <c r="AB230">
        <v>108.97</v>
      </c>
      <c r="AC230">
        <v>108.97</v>
      </c>
      <c r="AD230">
        <v>1.76</v>
      </c>
      <c r="AE230">
        <v>191.79</v>
      </c>
      <c r="AF230">
        <v>191.79</v>
      </c>
      <c r="AG230">
        <v>69.28</v>
      </c>
      <c r="AH230">
        <v>69.28</v>
      </c>
      <c r="AI230">
        <v>122.51</v>
      </c>
      <c r="AJ230">
        <v>122.51</v>
      </c>
      <c r="AK230">
        <v>63.88</v>
      </c>
      <c r="AL230">
        <v>-139.19999999999999</v>
      </c>
      <c r="AM230">
        <v>618.66</v>
      </c>
      <c r="AN230">
        <v>-43.15</v>
      </c>
      <c r="AO230">
        <v>79.36</v>
      </c>
      <c r="AP230">
        <v>79.36</v>
      </c>
      <c r="AQ230">
        <v>53.390742000000003</v>
      </c>
    </row>
    <row r="231" spans="1:43" x14ac:dyDescent="0.25">
      <c r="A231">
        <v>230</v>
      </c>
      <c r="B231" t="s">
        <v>71</v>
      </c>
      <c r="C231" t="s">
        <v>72</v>
      </c>
      <c r="D231" t="s">
        <v>73</v>
      </c>
      <c r="E231" t="s">
        <v>74</v>
      </c>
      <c r="F231">
        <v>240429476</v>
      </c>
      <c r="G231">
        <v>6584470</v>
      </c>
      <c r="H231" t="s">
        <v>101</v>
      </c>
      <c r="I231" t="s">
        <v>76</v>
      </c>
      <c r="J231" t="s">
        <v>101</v>
      </c>
      <c r="K231" t="s">
        <v>502</v>
      </c>
      <c r="L231" t="s">
        <v>285</v>
      </c>
      <c r="M231" t="s">
        <v>285</v>
      </c>
      <c r="N231" t="s">
        <v>286</v>
      </c>
      <c r="O231" t="s">
        <v>10</v>
      </c>
      <c r="P231" t="s">
        <v>77</v>
      </c>
      <c r="Q231" t="s">
        <v>159</v>
      </c>
      <c r="R231" t="s">
        <v>160</v>
      </c>
      <c r="S231" t="s">
        <v>105</v>
      </c>
      <c r="T231">
        <v>41201</v>
      </c>
      <c r="U231" t="s">
        <v>85</v>
      </c>
      <c r="V231">
        <v>51201</v>
      </c>
      <c r="W231" t="s">
        <v>81</v>
      </c>
      <c r="X231">
        <v>240429476</v>
      </c>
      <c r="Y231" t="s">
        <v>74</v>
      </c>
      <c r="Z231">
        <v>1</v>
      </c>
      <c r="AA231" t="s">
        <v>152</v>
      </c>
      <c r="AB231">
        <v>91.39</v>
      </c>
      <c r="AC231">
        <v>91.39</v>
      </c>
      <c r="AD231">
        <v>1.76</v>
      </c>
      <c r="AE231">
        <v>160.85</v>
      </c>
      <c r="AF231">
        <v>160.85</v>
      </c>
      <c r="AG231">
        <v>61.11</v>
      </c>
      <c r="AH231">
        <v>61.11</v>
      </c>
      <c r="AI231">
        <v>99.74</v>
      </c>
      <c r="AJ231">
        <v>99.74</v>
      </c>
      <c r="AK231">
        <v>62.01</v>
      </c>
      <c r="AL231">
        <v>-139.19999999999999</v>
      </c>
      <c r="AM231">
        <v>618.66</v>
      </c>
      <c r="AN231">
        <v>-36.19</v>
      </c>
      <c r="AO231">
        <v>63.55</v>
      </c>
      <c r="AP231">
        <v>63.55</v>
      </c>
      <c r="AQ231">
        <v>50.978661000000002</v>
      </c>
    </row>
    <row r="232" spans="1:43" x14ac:dyDescent="0.25">
      <c r="A232">
        <v>231</v>
      </c>
      <c r="B232" t="s">
        <v>71</v>
      </c>
      <c r="C232" t="s">
        <v>72</v>
      </c>
      <c r="D232" t="s">
        <v>73</v>
      </c>
      <c r="E232" t="s">
        <v>74</v>
      </c>
      <c r="F232">
        <v>240429476</v>
      </c>
      <c r="G232">
        <v>6584470</v>
      </c>
      <c r="H232" t="s">
        <v>101</v>
      </c>
      <c r="I232" t="s">
        <v>76</v>
      </c>
      <c r="J232" t="s">
        <v>101</v>
      </c>
      <c r="K232" t="s">
        <v>502</v>
      </c>
      <c r="L232" t="s">
        <v>285</v>
      </c>
      <c r="M232" t="s">
        <v>285</v>
      </c>
      <c r="N232" t="s">
        <v>286</v>
      </c>
      <c r="O232" t="s">
        <v>10</v>
      </c>
      <c r="P232" t="s">
        <v>77</v>
      </c>
      <c r="Q232" t="s">
        <v>233</v>
      </c>
      <c r="R232" t="s">
        <v>234</v>
      </c>
      <c r="S232" t="s">
        <v>105</v>
      </c>
      <c r="T232">
        <v>41201</v>
      </c>
      <c r="U232" t="s">
        <v>85</v>
      </c>
      <c r="V232">
        <v>51201</v>
      </c>
      <c r="W232" t="s">
        <v>81</v>
      </c>
      <c r="X232">
        <v>240429476</v>
      </c>
      <c r="Y232" t="s">
        <v>74</v>
      </c>
      <c r="Z232">
        <v>1</v>
      </c>
      <c r="AA232" t="s">
        <v>152</v>
      </c>
      <c r="AB232">
        <v>151.15</v>
      </c>
      <c r="AC232">
        <v>151.15</v>
      </c>
      <c r="AD232">
        <v>1.76</v>
      </c>
      <c r="AE232">
        <v>266.02</v>
      </c>
      <c r="AF232">
        <v>266.02</v>
      </c>
      <c r="AG232">
        <v>93.4</v>
      </c>
      <c r="AH232">
        <v>93.4</v>
      </c>
      <c r="AI232">
        <v>172.62</v>
      </c>
      <c r="AJ232">
        <v>172.62</v>
      </c>
      <c r="AK232">
        <v>64.89</v>
      </c>
      <c r="AL232">
        <v>-139.19999999999999</v>
      </c>
      <c r="AM232">
        <v>618.66</v>
      </c>
      <c r="AN232">
        <v>-59.86</v>
      </c>
      <c r="AO232">
        <v>112.76</v>
      </c>
      <c r="AP232">
        <v>112.76</v>
      </c>
      <c r="AQ232">
        <v>54.695382000000002</v>
      </c>
    </row>
    <row r="233" spans="1:43" x14ac:dyDescent="0.25">
      <c r="A233">
        <v>232</v>
      </c>
      <c r="B233" t="s">
        <v>71</v>
      </c>
      <c r="C233" t="s">
        <v>72</v>
      </c>
      <c r="D233" t="s">
        <v>73</v>
      </c>
      <c r="E233" t="s">
        <v>74</v>
      </c>
      <c r="F233">
        <v>240429520</v>
      </c>
      <c r="G233">
        <v>6584514</v>
      </c>
      <c r="H233" t="s">
        <v>101</v>
      </c>
      <c r="I233" t="s">
        <v>76</v>
      </c>
      <c r="J233" t="s">
        <v>101</v>
      </c>
      <c r="K233" t="s">
        <v>503</v>
      </c>
      <c r="L233" t="s">
        <v>285</v>
      </c>
      <c r="M233" t="s">
        <v>285</v>
      </c>
      <c r="N233" t="s">
        <v>286</v>
      </c>
      <c r="O233" t="s">
        <v>130</v>
      </c>
      <c r="P233" t="s">
        <v>77</v>
      </c>
      <c r="Q233" t="s">
        <v>110</v>
      </c>
      <c r="R233" t="s">
        <v>111</v>
      </c>
      <c r="S233" t="s">
        <v>84</v>
      </c>
      <c r="T233">
        <v>41201</v>
      </c>
      <c r="U233" t="s">
        <v>85</v>
      </c>
      <c r="V233">
        <v>51201</v>
      </c>
      <c r="W233" t="s">
        <v>81</v>
      </c>
      <c r="X233">
        <v>240429520</v>
      </c>
      <c r="Y233" t="s">
        <v>74</v>
      </c>
      <c r="Z233">
        <v>1</v>
      </c>
      <c r="AA233" t="s">
        <v>147</v>
      </c>
      <c r="AB233">
        <v>108</v>
      </c>
      <c r="AC233">
        <v>108</v>
      </c>
      <c r="AD233">
        <v>5.83</v>
      </c>
      <c r="AE233">
        <v>629.64</v>
      </c>
      <c r="AF233">
        <v>629.64</v>
      </c>
      <c r="AG233">
        <v>241</v>
      </c>
      <c r="AH233">
        <v>241</v>
      </c>
      <c r="AI233">
        <v>388.64</v>
      </c>
      <c r="AJ233">
        <v>388.64</v>
      </c>
      <c r="AK233">
        <v>61.72</v>
      </c>
      <c r="AL233">
        <v>-113.34</v>
      </c>
      <c r="AM233">
        <v>629.64</v>
      </c>
      <c r="AN233">
        <v>-113.34</v>
      </c>
      <c r="AO233">
        <v>275.3</v>
      </c>
      <c r="AP233">
        <v>275.3</v>
      </c>
      <c r="AQ233">
        <v>53.321711999999998</v>
      </c>
    </row>
    <row r="234" spans="1:43" x14ac:dyDescent="0.25">
      <c r="A234">
        <v>233</v>
      </c>
      <c r="B234" t="s">
        <v>71</v>
      </c>
      <c r="C234" t="s">
        <v>72</v>
      </c>
      <c r="D234" t="s">
        <v>73</v>
      </c>
      <c r="E234" t="s">
        <v>74</v>
      </c>
      <c r="F234">
        <v>240429520</v>
      </c>
      <c r="G234">
        <v>6584514</v>
      </c>
      <c r="H234" t="s">
        <v>101</v>
      </c>
      <c r="I234" t="s">
        <v>76</v>
      </c>
      <c r="J234" t="s">
        <v>101</v>
      </c>
      <c r="K234" t="s">
        <v>503</v>
      </c>
      <c r="L234" t="s">
        <v>285</v>
      </c>
      <c r="M234" t="s">
        <v>285</v>
      </c>
      <c r="N234" t="s">
        <v>286</v>
      </c>
      <c r="O234" t="s">
        <v>130</v>
      </c>
      <c r="P234" t="s">
        <v>77</v>
      </c>
      <c r="Q234" t="s">
        <v>78</v>
      </c>
      <c r="R234" t="s">
        <v>143</v>
      </c>
      <c r="S234" t="s">
        <v>79</v>
      </c>
      <c r="T234">
        <v>43201</v>
      </c>
      <c r="U234" t="s">
        <v>129</v>
      </c>
      <c r="V234">
        <v>51201</v>
      </c>
      <c r="W234" t="s">
        <v>81</v>
      </c>
      <c r="X234">
        <v>240429520</v>
      </c>
      <c r="Y234" t="s">
        <v>74</v>
      </c>
      <c r="Z234">
        <v>0</v>
      </c>
      <c r="AA234" t="s">
        <v>147</v>
      </c>
      <c r="AB234">
        <v>19.440000000000001</v>
      </c>
      <c r="AC234">
        <v>-19.440000000000001</v>
      </c>
      <c r="AD234">
        <v>5.83</v>
      </c>
      <c r="AE234">
        <v>113.34</v>
      </c>
      <c r="AF234">
        <v>-113.34</v>
      </c>
      <c r="AG234">
        <v>0</v>
      </c>
      <c r="AH234">
        <v>0</v>
      </c>
      <c r="AI234">
        <v>113.34</v>
      </c>
      <c r="AJ234">
        <v>-113.34</v>
      </c>
      <c r="AK234">
        <v>0</v>
      </c>
      <c r="AL234">
        <v>-113.34</v>
      </c>
      <c r="AM234">
        <v>629.64</v>
      </c>
      <c r="AN234">
        <v>0</v>
      </c>
      <c r="AO234">
        <v>0</v>
      </c>
      <c r="AP234">
        <v>0</v>
      </c>
      <c r="AQ234">
        <v>0</v>
      </c>
    </row>
    <row r="235" spans="1:43" x14ac:dyDescent="0.25">
      <c r="A235">
        <v>234</v>
      </c>
      <c r="B235" t="s">
        <v>71</v>
      </c>
      <c r="C235" t="s">
        <v>72</v>
      </c>
      <c r="D235" t="s">
        <v>73</v>
      </c>
      <c r="E235" t="s">
        <v>74</v>
      </c>
      <c r="F235">
        <v>240429523</v>
      </c>
      <c r="G235">
        <v>6584517</v>
      </c>
      <c r="H235" t="s">
        <v>101</v>
      </c>
      <c r="I235" t="s">
        <v>76</v>
      </c>
      <c r="J235" t="s">
        <v>101</v>
      </c>
      <c r="K235" t="s">
        <v>504</v>
      </c>
      <c r="L235" t="s">
        <v>285</v>
      </c>
      <c r="M235" t="s">
        <v>285</v>
      </c>
      <c r="N235" t="s">
        <v>286</v>
      </c>
      <c r="O235" t="s">
        <v>10</v>
      </c>
      <c r="P235" t="s">
        <v>77</v>
      </c>
      <c r="Q235" t="s">
        <v>282</v>
      </c>
      <c r="R235" t="s">
        <v>283</v>
      </c>
      <c r="S235" t="s">
        <v>105</v>
      </c>
      <c r="T235">
        <v>41201</v>
      </c>
      <c r="U235" t="s">
        <v>85</v>
      </c>
      <c r="V235">
        <v>51201</v>
      </c>
      <c r="W235" t="s">
        <v>81</v>
      </c>
      <c r="X235">
        <v>240429523</v>
      </c>
      <c r="Y235" t="s">
        <v>74</v>
      </c>
      <c r="Z235">
        <v>1</v>
      </c>
      <c r="AA235" t="s">
        <v>152</v>
      </c>
      <c r="AB235">
        <v>163.4</v>
      </c>
      <c r="AC235">
        <v>163.4</v>
      </c>
      <c r="AD235">
        <v>1.76</v>
      </c>
      <c r="AE235">
        <v>287.58</v>
      </c>
      <c r="AF235">
        <v>287.58</v>
      </c>
      <c r="AG235">
        <v>138</v>
      </c>
      <c r="AH235">
        <v>138</v>
      </c>
      <c r="AI235">
        <v>149.58000000000001</v>
      </c>
      <c r="AJ235">
        <v>149.58000000000001</v>
      </c>
      <c r="AK235">
        <v>52.01</v>
      </c>
      <c r="AL235">
        <v>0</v>
      </c>
      <c r="AM235">
        <v>287.58</v>
      </c>
      <c r="AN235">
        <v>0</v>
      </c>
      <c r="AO235">
        <v>149.58000000000001</v>
      </c>
      <c r="AP235">
        <v>149.58000000000001</v>
      </c>
      <c r="AQ235">
        <v>52.013351999999998</v>
      </c>
    </row>
    <row r="236" spans="1:43" x14ac:dyDescent="0.25">
      <c r="A236">
        <v>235</v>
      </c>
      <c r="B236" t="s">
        <v>71</v>
      </c>
      <c r="C236" t="s">
        <v>72</v>
      </c>
      <c r="D236" t="s">
        <v>73</v>
      </c>
      <c r="E236" t="s">
        <v>74</v>
      </c>
      <c r="F236">
        <v>240429859</v>
      </c>
      <c r="G236">
        <v>6584880</v>
      </c>
      <c r="H236" t="s">
        <v>102</v>
      </c>
      <c r="I236" t="s">
        <v>76</v>
      </c>
      <c r="J236" t="s">
        <v>102</v>
      </c>
      <c r="K236" t="s">
        <v>505</v>
      </c>
      <c r="L236" t="s">
        <v>285</v>
      </c>
      <c r="M236" t="s">
        <v>285</v>
      </c>
      <c r="N236" t="s">
        <v>286</v>
      </c>
      <c r="O236" t="s">
        <v>10</v>
      </c>
      <c r="P236" t="s">
        <v>77</v>
      </c>
      <c r="Q236" t="s">
        <v>187</v>
      </c>
      <c r="R236" t="s">
        <v>188</v>
      </c>
      <c r="S236" t="s">
        <v>105</v>
      </c>
      <c r="T236">
        <v>41201</v>
      </c>
      <c r="U236" t="s">
        <v>85</v>
      </c>
      <c r="V236">
        <v>51201</v>
      </c>
      <c r="W236" t="s">
        <v>81</v>
      </c>
      <c r="X236">
        <v>240429859</v>
      </c>
      <c r="Y236" t="s">
        <v>74</v>
      </c>
      <c r="Z236">
        <v>2</v>
      </c>
      <c r="AA236" t="s">
        <v>152</v>
      </c>
      <c r="AB236">
        <v>180.7</v>
      </c>
      <c r="AC236">
        <v>361.4</v>
      </c>
      <c r="AD236">
        <v>1.76</v>
      </c>
      <c r="AE236">
        <v>318.02999999999997</v>
      </c>
      <c r="AF236">
        <v>636.05999999999995</v>
      </c>
      <c r="AG236">
        <v>145.24</v>
      </c>
      <c r="AH236">
        <v>290.47000000000003</v>
      </c>
      <c r="AI236">
        <v>172.8</v>
      </c>
      <c r="AJ236">
        <v>345.59</v>
      </c>
      <c r="AK236">
        <v>54.33</v>
      </c>
      <c r="AL236">
        <v>-114.49</v>
      </c>
      <c r="AM236">
        <v>636.05999999999995</v>
      </c>
      <c r="AN236">
        <v>-114.49</v>
      </c>
      <c r="AO236">
        <v>115.55</v>
      </c>
      <c r="AP236">
        <v>231.1</v>
      </c>
      <c r="AQ236">
        <v>44.308529999999998</v>
      </c>
    </row>
    <row r="237" spans="1:43" x14ac:dyDescent="0.25">
      <c r="A237">
        <v>236</v>
      </c>
      <c r="B237" t="s">
        <v>71</v>
      </c>
      <c r="C237" t="s">
        <v>72</v>
      </c>
      <c r="D237" t="s">
        <v>73</v>
      </c>
      <c r="E237" t="s">
        <v>74</v>
      </c>
      <c r="F237">
        <v>240429859</v>
      </c>
      <c r="G237">
        <v>6584880</v>
      </c>
      <c r="H237" t="s">
        <v>102</v>
      </c>
      <c r="I237" t="s">
        <v>76</v>
      </c>
      <c r="J237" t="s">
        <v>102</v>
      </c>
      <c r="K237" t="s">
        <v>505</v>
      </c>
      <c r="L237" t="s">
        <v>285</v>
      </c>
      <c r="M237" t="s">
        <v>285</v>
      </c>
      <c r="N237" t="s">
        <v>286</v>
      </c>
      <c r="O237" t="s">
        <v>10</v>
      </c>
      <c r="P237" t="s">
        <v>77</v>
      </c>
      <c r="Q237" t="s">
        <v>78</v>
      </c>
      <c r="R237" t="s">
        <v>143</v>
      </c>
      <c r="S237" t="s">
        <v>79</v>
      </c>
      <c r="T237">
        <v>43201</v>
      </c>
      <c r="U237" t="s">
        <v>129</v>
      </c>
      <c r="V237">
        <v>51201</v>
      </c>
      <c r="W237" t="s">
        <v>81</v>
      </c>
      <c r="X237">
        <v>240429859</v>
      </c>
      <c r="Y237" t="s">
        <v>74</v>
      </c>
      <c r="Z237">
        <v>0</v>
      </c>
      <c r="AA237" t="s">
        <v>152</v>
      </c>
      <c r="AB237">
        <v>65.05</v>
      </c>
      <c r="AC237">
        <v>-65.05</v>
      </c>
      <c r="AD237">
        <v>1.76</v>
      </c>
      <c r="AE237">
        <v>114.49</v>
      </c>
      <c r="AF237">
        <v>-114.49</v>
      </c>
      <c r="AG237">
        <v>0</v>
      </c>
      <c r="AH237">
        <v>0</v>
      </c>
      <c r="AI237">
        <v>114.49</v>
      </c>
      <c r="AJ237">
        <v>-114.49</v>
      </c>
      <c r="AK237">
        <v>0</v>
      </c>
      <c r="AL237">
        <v>-114.49</v>
      </c>
      <c r="AM237">
        <v>636.05999999999995</v>
      </c>
      <c r="AN237">
        <v>0</v>
      </c>
      <c r="AO237">
        <v>0</v>
      </c>
      <c r="AP237">
        <v>0</v>
      </c>
      <c r="AQ237">
        <v>0</v>
      </c>
    </row>
    <row r="238" spans="1:43" x14ac:dyDescent="0.25">
      <c r="A238">
        <v>237</v>
      </c>
      <c r="B238" t="s">
        <v>71</v>
      </c>
      <c r="C238" t="s">
        <v>72</v>
      </c>
      <c r="D238" t="s">
        <v>73</v>
      </c>
      <c r="E238" t="s">
        <v>74</v>
      </c>
      <c r="F238">
        <v>240430096</v>
      </c>
      <c r="G238">
        <v>6585117</v>
      </c>
      <c r="H238" t="s">
        <v>102</v>
      </c>
      <c r="I238" t="s">
        <v>76</v>
      </c>
      <c r="J238" t="s">
        <v>102</v>
      </c>
      <c r="K238" t="s">
        <v>506</v>
      </c>
      <c r="L238" t="s">
        <v>285</v>
      </c>
      <c r="M238" t="s">
        <v>285</v>
      </c>
      <c r="N238" t="s">
        <v>286</v>
      </c>
      <c r="O238" t="s">
        <v>10</v>
      </c>
      <c r="P238" t="s">
        <v>77</v>
      </c>
      <c r="Q238" t="s">
        <v>187</v>
      </c>
      <c r="R238" t="s">
        <v>188</v>
      </c>
      <c r="S238" t="s">
        <v>105</v>
      </c>
      <c r="T238">
        <v>41201</v>
      </c>
      <c r="U238" t="s">
        <v>85</v>
      </c>
      <c r="V238">
        <v>51201</v>
      </c>
      <c r="W238" t="s">
        <v>81</v>
      </c>
      <c r="X238">
        <v>240430096</v>
      </c>
      <c r="Y238" t="s">
        <v>74</v>
      </c>
      <c r="Z238">
        <v>1</v>
      </c>
      <c r="AA238" t="s">
        <v>152</v>
      </c>
      <c r="AB238">
        <v>203</v>
      </c>
      <c r="AC238">
        <v>203</v>
      </c>
      <c r="AD238">
        <v>1.76</v>
      </c>
      <c r="AE238">
        <v>357.28</v>
      </c>
      <c r="AF238">
        <v>357.28</v>
      </c>
      <c r="AG238">
        <v>145.22999999999999</v>
      </c>
      <c r="AH238">
        <v>145.22999999999999</v>
      </c>
      <c r="AI238">
        <v>212.05</v>
      </c>
      <c r="AJ238">
        <v>212.05</v>
      </c>
      <c r="AK238">
        <v>59.35</v>
      </c>
      <c r="AL238">
        <v>-64.31</v>
      </c>
      <c r="AM238">
        <v>357.28</v>
      </c>
      <c r="AN238">
        <v>-64.31</v>
      </c>
      <c r="AO238">
        <v>147.74</v>
      </c>
      <c r="AP238">
        <v>147.74</v>
      </c>
      <c r="AQ238">
        <v>50.428370999999999</v>
      </c>
    </row>
    <row r="239" spans="1:43" x14ac:dyDescent="0.25">
      <c r="A239">
        <v>238</v>
      </c>
      <c r="B239" t="s">
        <v>71</v>
      </c>
      <c r="C239" t="s">
        <v>72</v>
      </c>
      <c r="D239" t="s">
        <v>73</v>
      </c>
      <c r="E239" t="s">
        <v>74</v>
      </c>
      <c r="F239">
        <v>240430096</v>
      </c>
      <c r="G239">
        <v>6585117</v>
      </c>
      <c r="H239" t="s">
        <v>102</v>
      </c>
      <c r="I239" t="s">
        <v>76</v>
      </c>
      <c r="J239" t="s">
        <v>102</v>
      </c>
      <c r="K239" t="s">
        <v>506</v>
      </c>
      <c r="L239" t="s">
        <v>285</v>
      </c>
      <c r="M239" t="s">
        <v>285</v>
      </c>
      <c r="N239" t="s">
        <v>286</v>
      </c>
      <c r="O239" t="s">
        <v>10</v>
      </c>
      <c r="P239" t="s">
        <v>77</v>
      </c>
      <c r="Q239" t="s">
        <v>78</v>
      </c>
      <c r="R239" t="s">
        <v>143</v>
      </c>
      <c r="S239" t="s">
        <v>79</v>
      </c>
      <c r="T239">
        <v>43201</v>
      </c>
      <c r="U239" t="s">
        <v>129</v>
      </c>
      <c r="V239">
        <v>51201</v>
      </c>
      <c r="W239" t="s">
        <v>81</v>
      </c>
      <c r="X239">
        <v>240430096</v>
      </c>
      <c r="Y239" t="s">
        <v>74</v>
      </c>
      <c r="Z239">
        <v>0</v>
      </c>
      <c r="AA239" t="s">
        <v>152</v>
      </c>
      <c r="AB239">
        <v>36.54</v>
      </c>
      <c r="AC239">
        <v>-36.54</v>
      </c>
      <c r="AD239">
        <v>1.76</v>
      </c>
      <c r="AE239">
        <v>64.31</v>
      </c>
      <c r="AF239">
        <v>-64.31</v>
      </c>
      <c r="AG239">
        <v>0</v>
      </c>
      <c r="AH239">
        <v>0</v>
      </c>
      <c r="AI239">
        <v>64.31</v>
      </c>
      <c r="AJ239">
        <v>-64.31</v>
      </c>
      <c r="AK239">
        <v>0</v>
      </c>
      <c r="AL239">
        <v>-64.31</v>
      </c>
      <c r="AM239">
        <v>357.28</v>
      </c>
      <c r="AN239">
        <v>0</v>
      </c>
      <c r="AO239">
        <v>0</v>
      </c>
      <c r="AP239">
        <v>0</v>
      </c>
      <c r="AQ239">
        <v>0</v>
      </c>
    </row>
    <row r="240" spans="1:43" x14ac:dyDescent="0.25">
      <c r="A240">
        <v>239</v>
      </c>
      <c r="B240" t="s">
        <v>71</v>
      </c>
      <c r="C240" t="s">
        <v>72</v>
      </c>
      <c r="D240" t="s">
        <v>73</v>
      </c>
      <c r="E240" t="s">
        <v>74</v>
      </c>
      <c r="F240">
        <v>240430226</v>
      </c>
      <c r="G240">
        <v>6585247</v>
      </c>
      <c r="H240" t="s">
        <v>102</v>
      </c>
      <c r="I240" t="s">
        <v>76</v>
      </c>
      <c r="J240" t="s">
        <v>102</v>
      </c>
      <c r="K240" t="s">
        <v>507</v>
      </c>
      <c r="L240" t="s">
        <v>285</v>
      </c>
      <c r="M240" t="s">
        <v>285</v>
      </c>
      <c r="N240" t="s">
        <v>286</v>
      </c>
      <c r="O240" t="s">
        <v>10</v>
      </c>
      <c r="P240" t="s">
        <v>77</v>
      </c>
      <c r="Q240" t="s">
        <v>187</v>
      </c>
      <c r="R240" t="s">
        <v>188</v>
      </c>
      <c r="S240" t="s">
        <v>105</v>
      </c>
      <c r="T240">
        <v>41201</v>
      </c>
      <c r="U240" t="s">
        <v>85</v>
      </c>
      <c r="V240">
        <v>51201</v>
      </c>
      <c r="W240" t="s">
        <v>81</v>
      </c>
      <c r="X240">
        <v>240430226</v>
      </c>
      <c r="Y240" t="s">
        <v>74</v>
      </c>
      <c r="Z240">
        <v>1</v>
      </c>
      <c r="AA240" t="s">
        <v>152</v>
      </c>
      <c r="AB240">
        <v>203</v>
      </c>
      <c r="AC240">
        <v>203</v>
      </c>
      <c r="AD240">
        <v>1.76</v>
      </c>
      <c r="AE240">
        <v>357.28</v>
      </c>
      <c r="AF240">
        <v>357.28</v>
      </c>
      <c r="AG240">
        <v>145.22999999999999</v>
      </c>
      <c r="AH240">
        <v>145.22999999999999</v>
      </c>
      <c r="AI240">
        <v>212.05</v>
      </c>
      <c r="AJ240">
        <v>212.05</v>
      </c>
      <c r="AK240">
        <v>59.35</v>
      </c>
      <c r="AL240">
        <v>-64.31</v>
      </c>
      <c r="AM240">
        <v>357.28</v>
      </c>
      <c r="AN240">
        <v>-64.31</v>
      </c>
      <c r="AO240">
        <v>147.74</v>
      </c>
      <c r="AP240">
        <v>147.74</v>
      </c>
      <c r="AQ240">
        <v>50.428370999999999</v>
      </c>
    </row>
    <row r="241" spans="1:43" x14ac:dyDescent="0.25">
      <c r="A241">
        <v>240</v>
      </c>
      <c r="B241" t="s">
        <v>71</v>
      </c>
      <c r="C241" t="s">
        <v>72</v>
      </c>
      <c r="D241" t="s">
        <v>73</v>
      </c>
      <c r="E241" t="s">
        <v>74</v>
      </c>
      <c r="F241">
        <v>240430226</v>
      </c>
      <c r="G241">
        <v>6585247</v>
      </c>
      <c r="H241" t="s">
        <v>102</v>
      </c>
      <c r="I241" t="s">
        <v>76</v>
      </c>
      <c r="J241" t="s">
        <v>102</v>
      </c>
      <c r="K241" t="s">
        <v>507</v>
      </c>
      <c r="L241" t="s">
        <v>285</v>
      </c>
      <c r="M241" t="s">
        <v>285</v>
      </c>
      <c r="N241" t="s">
        <v>286</v>
      </c>
      <c r="O241" t="s">
        <v>10</v>
      </c>
      <c r="P241" t="s">
        <v>77</v>
      </c>
      <c r="Q241" t="s">
        <v>78</v>
      </c>
      <c r="R241" t="s">
        <v>143</v>
      </c>
      <c r="S241" t="s">
        <v>79</v>
      </c>
      <c r="T241">
        <v>43201</v>
      </c>
      <c r="U241" t="s">
        <v>129</v>
      </c>
      <c r="V241">
        <v>51201</v>
      </c>
      <c r="W241" t="s">
        <v>81</v>
      </c>
      <c r="X241">
        <v>240430226</v>
      </c>
      <c r="Y241" t="s">
        <v>74</v>
      </c>
      <c r="Z241">
        <v>0</v>
      </c>
      <c r="AA241" t="s">
        <v>152</v>
      </c>
      <c r="AB241">
        <v>36.54</v>
      </c>
      <c r="AC241">
        <v>-36.54</v>
      </c>
      <c r="AD241">
        <v>1.76</v>
      </c>
      <c r="AE241">
        <v>64.31</v>
      </c>
      <c r="AF241">
        <v>-64.31</v>
      </c>
      <c r="AG241">
        <v>0</v>
      </c>
      <c r="AH241">
        <v>0</v>
      </c>
      <c r="AI241">
        <v>64.31</v>
      </c>
      <c r="AJ241">
        <v>-64.31</v>
      </c>
      <c r="AK241">
        <v>0</v>
      </c>
      <c r="AL241">
        <v>-64.31</v>
      </c>
      <c r="AM241">
        <v>357.28</v>
      </c>
      <c r="AN241">
        <v>0</v>
      </c>
      <c r="AO241">
        <v>0</v>
      </c>
      <c r="AP241">
        <v>0</v>
      </c>
      <c r="AQ241">
        <v>0</v>
      </c>
    </row>
    <row r="242" spans="1:43" x14ac:dyDescent="0.25">
      <c r="A242">
        <v>241</v>
      </c>
      <c r="B242" t="s">
        <v>71</v>
      </c>
      <c r="C242" t="s">
        <v>72</v>
      </c>
      <c r="D242" t="s">
        <v>73</v>
      </c>
      <c r="E242" t="s">
        <v>74</v>
      </c>
      <c r="F242">
        <v>240430548</v>
      </c>
      <c r="G242">
        <v>6585569</v>
      </c>
      <c r="H242" t="s">
        <v>102</v>
      </c>
      <c r="I242" t="s">
        <v>76</v>
      </c>
      <c r="J242" t="s">
        <v>102</v>
      </c>
      <c r="K242" t="s">
        <v>508</v>
      </c>
      <c r="L242" t="s">
        <v>285</v>
      </c>
      <c r="M242" t="s">
        <v>285</v>
      </c>
      <c r="N242" t="s">
        <v>286</v>
      </c>
      <c r="O242" t="s">
        <v>130</v>
      </c>
      <c r="P242" t="s">
        <v>77</v>
      </c>
      <c r="Q242" t="s">
        <v>206</v>
      </c>
      <c r="R242" t="s">
        <v>207</v>
      </c>
      <c r="S242" t="s">
        <v>105</v>
      </c>
      <c r="T242">
        <v>41201</v>
      </c>
      <c r="U242" t="s">
        <v>85</v>
      </c>
      <c r="V242">
        <v>51201</v>
      </c>
      <c r="W242" t="s">
        <v>81</v>
      </c>
      <c r="X242">
        <v>240430548</v>
      </c>
      <c r="Y242" t="s">
        <v>74</v>
      </c>
      <c r="Z242">
        <v>1</v>
      </c>
      <c r="AA242" t="s">
        <v>147</v>
      </c>
      <c r="AB242">
        <v>61</v>
      </c>
      <c r="AC242">
        <v>61</v>
      </c>
      <c r="AD242">
        <v>5.83</v>
      </c>
      <c r="AE242">
        <v>355.63</v>
      </c>
      <c r="AF242">
        <v>355.63</v>
      </c>
      <c r="AG242">
        <v>178</v>
      </c>
      <c r="AH242">
        <v>178</v>
      </c>
      <c r="AI242">
        <v>177.63</v>
      </c>
      <c r="AJ242">
        <v>177.63</v>
      </c>
      <c r="AK242">
        <v>49.95</v>
      </c>
      <c r="AL242">
        <v>0</v>
      </c>
      <c r="AM242">
        <v>355.63</v>
      </c>
      <c r="AN242">
        <v>0</v>
      </c>
      <c r="AO242">
        <v>177.63</v>
      </c>
      <c r="AP242">
        <v>177.63</v>
      </c>
      <c r="AQ242">
        <v>49.947978999999997</v>
      </c>
    </row>
    <row r="243" spans="1:43" x14ac:dyDescent="0.25">
      <c r="A243">
        <v>242</v>
      </c>
      <c r="B243" t="s">
        <v>71</v>
      </c>
      <c r="C243" t="s">
        <v>72</v>
      </c>
      <c r="D243" t="s">
        <v>73</v>
      </c>
      <c r="E243" t="s">
        <v>74</v>
      </c>
      <c r="F243">
        <v>240430571</v>
      </c>
      <c r="G243">
        <v>6585592</v>
      </c>
      <c r="H243" t="s">
        <v>102</v>
      </c>
      <c r="I243" t="s">
        <v>76</v>
      </c>
      <c r="J243" t="s">
        <v>102</v>
      </c>
      <c r="K243" t="s">
        <v>509</v>
      </c>
      <c r="L243" t="s">
        <v>285</v>
      </c>
      <c r="M243" t="s">
        <v>285</v>
      </c>
      <c r="N243" t="s">
        <v>286</v>
      </c>
      <c r="O243" t="s">
        <v>10</v>
      </c>
      <c r="P243" t="s">
        <v>77</v>
      </c>
      <c r="Q243" t="s">
        <v>239</v>
      </c>
      <c r="R243" t="s">
        <v>240</v>
      </c>
      <c r="S243" t="s">
        <v>135</v>
      </c>
      <c r="T243">
        <v>41201</v>
      </c>
      <c r="U243" t="s">
        <v>85</v>
      </c>
      <c r="V243">
        <v>51201</v>
      </c>
      <c r="W243" t="s">
        <v>81</v>
      </c>
      <c r="X243">
        <v>240430571</v>
      </c>
      <c r="Y243" t="s">
        <v>74</v>
      </c>
      <c r="Z243">
        <v>1</v>
      </c>
      <c r="AA243" t="s">
        <v>152</v>
      </c>
      <c r="AB243">
        <v>252.5</v>
      </c>
      <c r="AC243">
        <v>252.5</v>
      </c>
      <c r="AD243">
        <v>1.76</v>
      </c>
      <c r="AE243">
        <v>444.4</v>
      </c>
      <c r="AF243">
        <v>444.4</v>
      </c>
      <c r="AG243">
        <v>190.77</v>
      </c>
      <c r="AH243">
        <v>190.77</v>
      </c>
      <c r="AI243">
        <v>253.63</v>
      </c>
      <c r="AJ243">
        <v>253.63</v>
      </c>
      <c r="AK243">
        <v>57.07</v>
      </c>
      <c r="AL243">
        <v>-79.989999999999995</v>
      </c>
      <c r="AM243">
        <v>444.4</v>
      </c>
      <c r="AN243">
        <v>-79.989999999999995</v>
      </c>
      <c r="AO243">
        <v>173.64</v>
      </c>
      <c r="AP243">
        <v>173.64</v>
      </c>
      <c r="AQ243">
        <v>47.649625</v>
      </c>
    </row>
    <row r="244" spans="1:43" x14ac:dyDescent="0.25">
      <c r="A244">
        <v>243</v>
      </c>
      <c r="B244" t="s">
        <v>71</v>
      </c>
      <c r="C244" t="s">
        <v>72</v>
      </c>
      <c r="D244" t="s">
        <v>73</v>
      </c>
      <c r="E244" t="s">
        <v>74</v>
      </c>
      <c r="F244">
        <v>240430571</v>
      </c>
      <c r="G244">
        <v>6585592</v>
      </c>
      <c r="H244" t="s">
        <v>102</v>
      </c>
      <c r="I244" t="s">
        <v>76</v>
      </c>
      <c r="J244" t="s">
        <v>102</v>
      </c>
      <c r="K244" t="s">
        <v>509</v>
      </c>
      <c r="L244" t="s">
        <v>285</v>
      </c>
      <c r="M244" t="s">
        <v>285</v>
      </c>
      <c r="N244" t="s">
        <v>286</v>
      </c>
      <c r="O244" t="s">
        <v>10</v>
      </c>
      <c r="P244" t="s">
        <v>77</v>
      </c>
      <c r="Q244" t="s">
        <v>78</v>
      </c>
      <c r="R244" t="s">
        <v>143</v>
      </c>
      <c r="S244" t="s">
        <v>79</v>
      </c>
      <c r="T244">
        <v>43201</v>
      </c>
      <c r="U244" t="s">
        <v>129</v>
      </c>
      <c r="V244">
        <v>51201</v>
      </c>
      <c r="W244" t="s">
        <v>81</v>
      </c>
      <c r="X244">
        <v>240430571</v>
      </c>
      <c r="Y244" t="s">
        <v>74</v>
      </c>
      <c r="Z244">
        <v>0</v>
      </c>
      <c r="AA244" t="s">
        <v>152</v>
      </c>
      <c r="AB244">
        <v>45.45</v>
      </c>
      <c r="AC244">
        <v>-45.45</v>
      </c>
      <c r="AD244">
        <v>1.76</v>
      </c>
      <c r="AE244">
        <v>79.989999999999995</v>
      </c>
      <c r="AF244">
        <v>-79.989999999999995</v>
      </c>
      <c r="AG244">
        <v>0</v>
      </c>
      <c r="AH244">
        <v>0</v>
      </c>
      <c r="AI244">
        <v>79.989999999999995</v>
      </c>
      <c r="AJ244">
        <v>-79.989999999999995</v>
      </c>
      <c r="AK244">
        <v>0</v>
      </c>
      <c r="AL244">
        <v>-79.989999999999995</v>
      </c>
      <c r="AM244">
        <v>444.4</v>
      </c>
      <c r="AN244">
        <v>0</v>
      </c>
      <c r="AO244">
        <v>0</v>
      </c>
      <c r="AP244">
        <v>0</v>
      </c>
      <c r="AQ244">
        <v>0</v>
      </c>
    </row>
    <row r="245" spans="1:43" x14ac:dyDescent="0.25">
      <c r="A245">
        <v>244</v>
      </c>
      <c r="B245" t="s">
        <v>71</v>
      </c>
      <c r="C245" t="s">
        <v>72</v>
      </c>
      <c r="D245" t="s">
        <v>73</v>
      </c>
      <c r="E245" t="s">
        <v>74</v>
      </c>
      <c r="F245">
        <v>240430703</v>
      </c>
      <c r="G245">
        <v>6585724</v>
      </c>
      <c r="H245" t="s">
        <v>102</v>
      </c>
      <c r="I245" t="s">
        <v>76</v>
      </c>
      <c r="J245" t="s">
        <v>102</v>
      </c>
      <c r="K245" t="s">
        <v>510</v>
      </c>
      <c r="L245" t="s">
        <v>285</v>
      </c>
      <c r="M245" t="s">
        <v>285</v>
      </c>
      <c r="N245" t="s">
        <v>286</v>
      </c>
      <c r="O245" t="s">
        <v>10</v>
      </c>
      <c r="P245" t="s">
        <v>77</v>
      </c>
      <c r="Q245" t="s">
        <v>78</v>
      </c>
      <c r="R245" t="s">
        <v>143</v>
      </c>
      <c r="S245" t="s">
        <v>79</v>
      </c>
      <c r="T245">
        <v>43201</v>
      </c>
      <c r="U245" t="s">
        <v>129</v>
      </c>
      <c r="V245">
        <v>51201</v>
      </c>
      <c r="W245" t="s">
        <v>81</v>
      </c>
      <c r="X245">
        <v>240430703</v>
      </c>
      <c r="Y245" t="s">
        <v>74</v>
      </c>
      <c r="Z245">
        <v>0</v>
      </c>
      <c r="AA245" t="s">
        <v>152</v>
      </c>
      <c r="AB245">
        <v>31.19</v>
      </c>
      <c r="AC245">
        <v>-31.19</v>
      </c>
      <c r="AD245">
        <v>1.76</v>
      </c>
      <c r="AE245">
        <v>54.89</v>
      </c>
      <c r="AF245">
        <v>-54.89</v>
      </c>
      <c r="AG245">
        <v>0</v>
      </c>
      <c r="AH245">
        <v>0</v>
      </c>
      <c r="AI245">
        <v>54.89</v>
      </c>
      <c r="AJ245">
        <v>-54.89</v>
      </c>
      <c r="AK245">
        <v>0</v>
      </c>
      <c r="AL245">
        <v>-54.89</v>
      </c>
      <c r="AM245">
        <v>305.01</v>
      </c>
      <c r="AN245">
        <v>0</v>
      </c>
      <c r="AO245">
        <v>0</v>
      </c>
      <c r="AP245">
        <v>0</v>
      </c>
      <c r="AQ245">
        <v>0</v>
      </c>
    </row>
    <row r="246" spans="1:43" x14ac:dyDescent="0.25">
      <c r="A246">
        <v>245</v>
      </c>
      <c r="B246" t="s">
        <v>71</v>
      </c>
      <c r="C246" t="s">
        <v>72</v>
      </c>
      <c r="D246" t="s">
        <v>73</v>
      </c>
      <c r="E246" t="s">
        <v>74</v>
      </c>
      <c r="F246">
        <v>240430703</v>
      </c>
      <c r="G246">
        <v>6585724</v>
      </c>
      <c r="H246" t="s">
        <v>102</v>
      </c>
      <c r="I246" t="s">
        <v>76</v>
      </c>
      <c r="J246" t="s">
        <v>102</v>
      </c>
      <c r="K246" t="s">
        <v>510</v>
      </c>
      <c r="L246" t="s">
        <v>285</v>
      </c>
      <c r="M246" t="s">
        <v>285</v>
      </c>
      <c r="N246" t="s">
        <v>286</v>
      </c>
      <c r="O246" t="s">
        <v>10</v>
      </c>
      <c r="P246" t="s">
        <v>77</v>
      </c>
      <c r="Q246" t="s">
        <v>334</v>
      </c>
      <c r="R246" t="s">
        <v>335</v>
      </c>
      <c r="S246" t="s">
        <v>84</v>
      </c>
      <c r="T246">
        <v>41201</v>
      </c>
      <c r="U246" t="s">
        <v>85</v>
      </c>
      <c r="V246">
        <v>51201</v>
      </c>
      <c r="W246" t="s">
        <v>81</v>
      </c>
      <c r="X246">
        <v>240430703</v>
      </c>
      <c r="Y246" t="s">
        <v>74</v>
      </c>
      <c r="Z246">
        <v>1</v>
      </c>
      <c r="AA246" t="s">
        <v>152</v>
      </c>
      <c r="AB246">
        <v>173.3</v>
      </c>
      <c r="AC246">
        <v>173.3</v>
      </c>
      <c r="AD246">
        <v>1.76</v>
      </c>
      <c r="AE246">
        <v>305.01</v>
      </c>
      <c r="AF246">
        <v>305.01</v>
      </c>
      <c r="AG246">
        <v>141.35</v>
      </c>
      <c r="AH246">
        <v>141.35</v>
      </c>
      <c r="AI246">
        <v>163.66</v>
      </c>
      <c r="AJ246">
        <v>163.66</v>
      </c>
      <c r="AK246">
        <v>53.66</v>
      </c>
      <c r="AL246">
        <v>-54.89</v>
      </c>
      <c r="AM246">
        <v>305.01</v>
      </c>
      <c r="AN246">
        <v>-54.89</v>
      </c>
      <c r="AO246">
        <v>108.77</v>
      </c>
      <c r="AP246">
        <v>108.77</v>
      </c>
      <c r="AQ246">
        <v>43.487126000000004</v>
      </c>
    </row>
    <row r="247" spans="1:43" x14ac:dyDescent="0.25">
      <c r="A247">
        <v>246</v>
      </c>
      <c r="B247" t="s">
        <v>71</v>
      </c>
      <c r="C247" t="s">
        <v>72</v>
      </c>
      <c r="D247" t="s">
        <v>73</v>
      </c>
      <c r="E247" t="s">
        <v>74</v>
      </c>
      <c r="F247">
        <v>240430773</v>
      </c>
      <c r="G247">
        <v>6585794</v>
      </c>
      <c r="H247" t="s">
        <v>102</v>
      </c>
      <c r="I247" t="s">
        <v>76</v>
      </c>
      <c r="J247" t="s">
        <v>102</v>
      </c>
      <c r="K247" t="s">
        <v>511</v>
      </c>
      <c r="L247" t="s">
        <v>285</v>
      </c>
      <c r="M247" t="s">
        <v>285</v>
      </c>
      <c r="N247" t="s">
        <v>286</v>
      </c>
      <c r="O247" t="s">
        <v>10</v>
      </c>
      <c r="P247" t="s">
        <v>77</v>
      </c>
      <c r="Q247" t="s">
        <v>512</v>
      </c>
      <c r="R247" t="s">
        <v>513</v>
      </c>
      <c r="S247" t="s">
        <v>136</v>
      </c>
      <c r="T247">
        <v>41201</v>
      </c>
      <c r="U247" t="s">
        <v>85</v>
      </c>
      <c r="V247">
        <v>51201</v>
      </c>
      <c r="W247" t="s">
        <v>81</v>
      </c>
      <c r="X247">
        <v>240430773</v>
      </c>
      <c r="Y247" t="s">
        <v>74</v>
      </c>
      <c r="Z247">
        <v>1</v>
      </c>
      <c r="AA247" t="s">
        <v>152</v>
      </c>
      <c r="AB247">
        <v>227.7</v>
      </c>
      <c r="AC247">
        <v>227.7</v>
      </c>
      <c r="AD247">
        <v>1.76</v>
      </c>
      <c r="AE247">
        <v>400.75</v>
      </c>
      <c r="AF247">
        <v>400.75</v>
      </c>
      <c r="AG247">
        <v>169</v>
      </c>
      <c r="AH247">
        <v>169</v>
      </c>
      <c r="AI247">
        <v>231.75</v>
      </c>
      <c r="AJ247">
        <v>231.75</v>
      </c>
      <c r="AK247">
        <v>57.83</v>
      </c>
      <c r="AL247">
        <v>-72.14</v>
      </c>
      <c r="AM247">
        <v>400.75</v>
      </c>
      <c r="AN247">
        <v>-72.14</v>
      </c>
      <c r="AO247">
        <v>159.61000000000001</v>
      </c>
      <c r="AP247">
        <v>159.61000000000001</v>
      </c>
      <c r="AQ247">
        <v>48.571254000000003</v>
      </c>
    </row>
    <row r="248" spans="1:43" x14ac:dyDescent="0.25">
      <c r="A248">
        <v>247</v>
      </c>
      <c r="B248" t="s">
        <v>71</v>
      </c>
      <c r="C248" t="s">
        <v>72</v>
      </c>
      <c r="D248" t="s">
        <v>73</v>
      </c>
      <c r="E248" t="s">
        <v>74</v>
      </c>
      <c r="F248">
        <v>240430773</v>
      </c>
      <c r="G248">
        <v>6585794</v>
      </c>
      <c r="H248" t="s">
        <v>102</v>
      </c>
      <c r="I248" t="s">
        <v>76</v>
      </c>
      <c r="J248" t="s">
        <v>102</v>
      </c>
      <c r="K248" t="s">
        <v>511</v>
      </c>
      <c r="L248" t="s">
        <v>285</v>
      </c>
      <c r="M248" t="s">
        <v>285</v>
      </c>
      <c r="N248" t="s">
        <v>286</v>
      </c>
      <c r="O248" t="s">
        <v>10</v>
      </c>
      <c r="P248" t="s">
        <v>77</v>
      </c>
      <c r="Q248" t="s">
        <v>78</v>
      </c>
      <c r="R248" t="s">
        <v>143</v>
      </c>
      <c r="S248" t="s">
        <v>79</v>
      </c>
      <c r="T248">
        <v>43201</v>
      </c>
      <c r="U248" t="s">
        <v>129</v>
      </c>
      <c r="V248">
        <v>51201</v>
      </c>
      <c r="W248" t="s">
        <v>81</v>
      </c>
      <c r="X248">
        <v>240430773</v>
      </c>
      <c r="Y248" t="s">
        <v>74</v>
      </c>
      <c r="Z248">
        <v>0</v>
      </c>
      <c r="AA248" t="s">
        <v>152</v>
      </c>
      <c r="AB248">
        <v>40.99</v>
      </c>
      <c r="AC248">
        <v>-40.99</v>
      </c>
      <c r="AD248">
        <v>1.76</v>
      </c>
      <c r="AE248">
        <v>72.14</v>
      </c>
      <c r="AF248">
        <v>-72.14</v>
      </c>
      <c r="AG248">
        <v>0</v>
      </c>
      <c r="AH248">
        <v>0</v>
      </c>
      <c r="AI248">
        <v>72.14</v>
      </c>
      <c r="AJ248">
        <v>-72.14</v>
      </c>
      <c r="AK248">
        <v>0</v>
      </c>
      <c r="AL248">
        <v>-72.14</v>
      </c>
      <c r="AM248">
        <v>400.75</v>
      </c>
      <c r="AN248">
        <v>0</v>
      </c>
      <c r="AO248">
        <v>0</v>
      </c>
      <c r="AP248">
        <v>0</v>
      </c>
      <c r="AQ248">
        <v>0</v>
      </c>
    </row>
    <row r="249" spans="1:43" x14ac:dyDescent="0.25">
      <c r="A249">
        <v>248</v>
      </c>
      <c r="B249" t="s">
        <v>71</v>
      </c>
      <c r="C249" t="s">
        <v>72</v>
      </c>
      <c r="D249" t="s">
        <v>73</v>
      </c>
      <c r="E249" t="s">
        <v>74</v>
      </c>
      <c r="F249">
        <v>240430831</v>
      </c>
      <c r="G249">
        <v>6585852</v>
      </c>
      <c r="H249" t="s">
        <v>102</v>
      </c>
      <c r="I249" t="s">
        <v>76</v>
      </c>
      <c r="J249" t="s">
        <v>102</v>
      </c>
      <c r="K249" t="s">
        <v>514</v>
      </c>
      <c r="L249" t="s">
        <v>285</v>
      </c>
      <c r="M249" t="s">
        <v>285</v>
      </c>
      <c r="N249" t="s">
        <v>286</v>
      </c>
      <c r="O249" t="s">
        <v>10</v>
      </c>
      <c r="P249" t="s">
        <v>77</v>
      </c>
      <c r="Q249" t="s">
        <v>78</v>
      </c>
      <c r="R249" t="s">
        <v>143</v>
      </c>
      <c r="S249" t="s">
        <v>79</v>
      </c>
      <c r="T249">
        <v>43201</v>
      </c>
      <c r="U249" t="s">
        <v>129</v>
      </c>
      <c r="V249">
        <v>51201</v>
      </c>
      <c r="W249" t="s">
        <v>81</v>
      </c>
      <c r="X249">
        <v>240430831</v>
      </c>
      <c r="Y249" t="s">
        <v>74</v>
      </c>
      <c r="Z249">
        <v>0</v>
      </c>
      <c r="AA249" t="s">
        <v>152</v>
      </c>
      <c r="AB249">
        <v>103.36</v>
      </c>
      <c r="AC249">
        <v>-103.36</v>
      </c>
      <c r="AD249">
        <v>1.76</v>
      </c>
      <c r="AE249">
        <v>181.91</v>
      </c>
      <c r="AF249">
        <v>-181.91</v>
      </c>
      <c r="AG249">
        <v>0</v>
      </c>
      <c r="AH249">
        <v>0</v>
      </c>
      <c r="AI249">
        <v>181.91</v>
      </c>
      <c r="AJ249">
        <v>-181.91</v>
      </c>
      <c r="AK249">
        <v>0</v>
      </c>
      <c r="AL249">
        <v>-181.91</v>
      </c>
      <c r="AM249">
        <v>1010.59</v>
      </c>
      <c r="AN249">
        <v>0</v>
      </c>
      <c r="AO249">
        <v>0</v>
      </c>
      <c r="AP249">
        <v>0</v>
      </c>
      <c r="AQ249">
        <v>0</v>
      </c>
    </row>
    <row r="250" spans="1:43" x14ac:dyDescent="0.25">
      <c r="A250">
        <v>249</v>
      </c>
      <c r="B250" t="s">
        <v>71</v>
      </c>
      <c r="C250" t="s">
        <v>72</v>
      </c>
      <c r="D250" t="s">
        <v>73</v>
      </c>
      <c r="E250" t="s">
        <v>74</v>
      </c>
      <c r="F250">
        <v>240430831</v>
      </c>
      <c r="G250">
        <v>6585852</v>
      </c>
      <c r="H250" t="s">
        <v>102</v>
      </c>
      <c r="I250" t="s">
        <v>76</v>
      </c>
      <c r="J250" t="s">
        <v>102</v>
      </c>
      <c r="K250" t="s">
        <v>514</v>
      </c>
      <c r="L250" t="s">
        <v>285</v>
      </c>
      <c r="M250" t="s">
        <v>285</v>
      </c>
      <c r="N250" t="s">
        <v>286</v>
      </c>
      <c r="O250" t="s">
        <v>10</v>
      </c>
      <c r="P250" t="s">
        <v>77</v>
      </c>
      <c r="Q250" t="s">
        <v>168</v>
      </c>
      <c r="R250" t="s">
        <v>169</v>
      </c>
      <c r="S250" t="s">
        <v>84</v>
      </c>
      <c r="T250">
        <v>41201</v>
      </c>
      <c r="U250" t="s">
        <v>85</v>
      </c>
      <c r="V250">
        <v>51201</v>
      </c>
      <c r="W250" t="s">
        <v>81</v>
      </c>
      <c r="X250">
        <v>240430831</v>
      </c>
      <c r="Y250" t="s">
        <v>74</v>
      </c>
      <c r="Z250">
        <v>1</v>
      </c>
      <c r="AA250" t="s">
        <v>152</v>
      </c>
      <c r="AB250">
        <v>346.5</v>
      </c>
      <c r="AC250">
        <v>346.5</v>
      </c>
      <c r="AD250">
        <v>1.76</v>
      </c>
      <c r="AE250">
        <v>609.84</v>
      </c>
      <c r="AF250">
        <v>609.84</v>
      </c>
      <c r="AG250">
        <v>268</v>
      </c>
      <c r="AH250">
        <v>268</v>
      </c>
      <c r="AI250">
        <v>341.84</v>
      </c>
      <c r="AJ250">
        <v>341.84</v>
      </c>
      <c r="AK250">
        <v>56.05</v>
      </c>
      <c r="AL250">
        <v>-181.91</v>
      </c>
      <c r="AM250">
        <v>1010.59</v>
      </c>
      <c r="AN250">
        <v>-109.77</v>
      </c>
      <c r="AO250">
        <v>232.07</v>
      </c>
      <c r="AP250">
        <v>232.07</v>
      </c>
      <c r="AQ250">
        <v>46.407502000000001</v>
      </c>
    </row>
    <row r="251" spans="1:43" x14ac:dyDescent="0.25">
      <c r="A251">
        <v>250</v>
      </c>
      <c r="B251" t="s">
        <v>71</v>
      </c>
      <c r="C251" t="s">
        <v>72</v>
      </c>
      <c r="D251" t="s">
        <v>73</v>
      </c>
      <c r="E251" t="s">
        <v>74</v>
      </c>
      <c r="F251">
        <v>240430831</v>
      </c>
      <c r="G251">
        <v>6585852</v>
      </c>
      <c r="H251" t="s">
        <v>102</v>
      </c>
      <c r="I251" t="s">
        <v>76</v>
      </c>
      <c r="J251" t="s">
        <v>102</v>
      </c>
      <c r="K251" t="s">
        <v>514</v>
      </c>
      <c r="L251" t="s">
        <v>285</v>
      </c>
      <c r="M251" t="s">
        <v>285</v>
      </c>
      <c r="N251" t="s">
        <v>286</v>
      </c>
      <c r="O251" t="s">
        <v>10</v>
      </c>
      <c r="P251" t="s">
        <v>77</v>
      </c>
      <c r="Q251" t="s">
        <v>252</v>
      </c>
      <c r="R251" t="s">
        <v>253</v>
      </c>
      <c r="S251" t="s">
        <v>84</v>
      </c>
      <c r="T251">
        <v>41201</v>
      </c>
      <c r="U251" t="s">
        <v>85</v>
      </c>
      <c r="V251">
        <v>51201</v>
      </c>
      <c r="W251" t="s">
        <v>81</v>
      </c>
      <c r="X251">
        <v>240430831</v>
      </c>
      <c r="Y251" t="s">
        <v>74</v>
      </c>
      <c r="Z251">
        <v>1</v>
      </c>
      <c r="AA251" t="s">
        <v>152</v>
      </c>
      <c r="AB251">
        <v>227.7</v>
      </c>
      <c r="AC251">
        <v>227.7</v>
      </c>
      <c r="AD251">
        <v>1.76</v>
      </c>
      <c r="AE251">
        <v>400.75</v>
      </c>
      <c r="AF251">
        <v>400.75</v>
      </c>
      <c r="AG251">
        <v>170</v>
      </c>
      <c r="AH251">
        <v>170</v>
      </c>
      <c r="AI251">
        <v>230.75</v>
      </c>
      <c r="AJ251">
        <v>230.75</v>
      </c>
      <c r="AK251">
        <v>57.58</v>
      </c>
      <c r="AL251">
        <v>-181.91</v>
      </c>
      <c r="AM251">
        <v>1010.59</v>
      </c>
      <c r="AN251">
        <v>-72.14</v>
      </c>
      <c r="AO251">
        <v>158.61000000000001</v>
      </c>
      <c r="AP251">
        <v>158.61000000000001</v>
      </c>
      <c r="AQ251">
        <v>48.266942</v>
      </c>
    </row>
    <row r="252" spans="1:43" x14ac:dyDescent="0.25">
      <c r="A252">
        <v>251</v>
      </c>
      <c r="B252" t="s">
        <v>71</v>
      </c>
      <c r="C252" t="s">
        <v>72</v>
      </c>
      <c r="D252" t="s">
        <v>73</v>
      </c>
      <c r="E252" t="s">
        <v>74</v>
      </c>
      <c r="F252">
        <v>240430935</v>
      </c>
      <c r="G252">
        <v>6585956</v>
      </c>
      <c r="H252" t="s">
        <v>102</v>
      </c>
      <c r="I252" t="s">
        <v>76</v>
      </c>
      <c r="J252" t="s">
        <v>102</v>
      </c>
      <c r="K252" t="s">
        <v>515</v>
      </c>
      <c r="L252" t="s">
        <v>285</v>
      </c>
      <c r="M252" t="s">
        <v>285</v>
      </c>
      <c r="N252" t="s">
        <v>286</v>
      </c>
      <c r="O252" t="s">
        <v>10</v>
      </c>
      <c r="P252" t="s">
        <v>77</v>
      </c>
      <c r="Q252" t="s">
        <v>258</v>
      </c>
      <c r="R252" t="s">
        <v>259</v>
      </c>
      <c r="S252" t="s">
        <v>84</v>
      </c>
      <c r="T252">
        <v>41201</v>
      </c>
      <c r="U252" t="s">
        <v>85</v>
      </c>
      <c r="V252">
        <v>51201</v>
      </c>
      <c r="W252" t="s">
        <v>81</v>
      </c>
      <c r="X252">
        <v>240430935</v>
      </c>
      <c r="Y252" t="s">
        <v>74</v>
      </c>
      <c r="Z252">
        <v>1</v>
      </c>
      <c r="AA252" t="s">
        <v>152</v>
      </c>
      <c r="AB252">
        <v>347.4</v>
      </c>
      <c r="AC252">
        <v>347.4</v>
      </c>
      <c r="AD252">
        <v>1.76</v>
      </c>
      <c r="AE252">
        <v>611.41999999999996</v>
      </c>
      <c r="AF252">
        <v>611.41999999999996</v>
      </c>
      <c r="AG252">
        <v>305</v>
      </c>
      <c r="AH252">
        <v>305</v>
      </c>
      <c r="AI252">
        <v>306.42</v>
      </c>
      <c r="AJ252">
        <v>306.42</v>
      </c>
      <c r="AK252">
        <v>50.12</v>
      </c>
      <c r="AL252">
        <v>-110.05</v>
      </c>
      <c r="AM252">
        <v>611.41999999999996</v>
      </c>
      <c r="AN252">
        <v>-110.05</v>
      </c>
      <c r="AO252">
        <v>196.37</v>
      </c>
      <c r="AP252">
        <v>196.37</v>
      </c>
      <c r="AQ252">
        <v>39.166682999999999</v>
      </c>
    </row>
    <row r="253" spans="1:43" x14ac:dyDescent="0.25">
      <c r="A253">
        <v>252</v>
      </c>
      <c r="B253" t="s">
        <v>71</v>
      </c>
      <c r="C253" t="s">
        <v>72</v>
      </c>
      <c r="D253" t="s">
        <v>73</v>
      </c>
      <c r="E253" t="s">
        <v>74</v>
      </c>
      <c r="F253">
        <v>240430935</v>
      </c>
      <c r="G253">
        <v>6585956</v>
      </c>
      <c r="H253" t="s">
        <v>102</v>
      </c>
      <c r="I253" t="s">
        <v>76</v>
      </c>
      <c r="J253" t="s">
        <v>102</v>
      </c>
      <c r="K253" t="s">
        <v>515</v>
      </c>
      <c r="L253" t="s">
        <v>285</v>
      </c>
      <c r="M253" t="s">
        <v>285</v>
      </c>
      <c r="N253" t="s">
        <v>286</v>
      </c>
      <c r="O253" t="s">
        <v>10</v>
      </c>
      <c r="P253" t="s">
        <v>77</v>
      </c>
      <c r="Q253" t="s">
        <v>78</v>
      </c>
      <c r="R253" t="s">
        <v>143</v>
      </c>
      <c r="S253" t="s">
        <v>79</v>
      </c>
      <c r="T253">
        <v>43201</v>
      </c>
      <c r="U253" t="s">
        <v>129</v>
      </c>
      <c r="V253">
        <v>51201</v>
      </c>
      <c r="W253" t="s">
        <v>81</v>
      </c>
      <c r="X253">
        <v>240430935</v>
      </c>
      <c r="Y253" t="s">
        <v>74</v>
      </c>
      <c r="Z253">
        <v>0</v>
      </c>
      <c r="AA253" t="s">
        <v>152</v>
      </c>
      <c r="AB253">
        <v>62.53</v>
      </c>
      <c r="AC253">
        <v>-62.53</v>
      </c>
      <c r="AD253">
        <v>1.76</v>
      </c>
      <c r="AE253">
        <v>110.05</v>
      </c>
      <c r="AF253">
        <v>-110.05</v>
      </c>
      <c r="AG253">
        <v>0</v>
      </c>
      <c r="AH253">
        <v>0</v>
      </c>
      <c r="AI253">
        <v>110.05</v>
      </c>
      <c r="AJ253">
        <v>-110.05</v>
      </c>
      <c r="AK253">
        <v>0</v>
      </c>
      <c r="AL253">
        <v>-110.05</v>
      </c>
      <c r="AM253">
        <v>611.41999999999996</v>
      </c>
      <c r="AN253">
        <v>0</v>
      </c>
      <c r="AO253">
        <v>0</v>
      </c>
      <c r="AP253">
        <v>0</v>
      </c>
      <c r="AQ253">
        <v>0</v>
      </c>
    </row>
    <row r="254" spans="1:43" x14ac:dyDescent="0.25">
      <c r="A254">
        <v>253</v>
      </c>
      <c r="B254" t="s">
        <v>71</v>
      </c>
      <c r="C254" t="s">
        <v>72</v>
      </c>
      <c r="D254" t="s">
        <v>73</v>
      </c>
      <c r="E254" t="s">
        <v>74</v>
      </c>
      <c r="F254">
        <v>240430952</v>
      </c>
      <c r="G254">
        <v>6585973</v>
      </c>
      <c r="H254" t="s">
        <v>102</v>
      </c>
      <c r="I254" t="s">
        <v>76</v>
      </c>
      <c r="J254" t="s">
        <v>102</v>
      </c>
      <c r="K254" t="s">
        <v>516</v>
      </c>
      <c r="L254" t="s">
        <v>285</v>
      </c>
      <c r="M254" t="s">
        <v>285</v>
      </c>
      <c r="N254" t="s">
        <v>286</v>
      </c>
      <c r="O254" t="s">
        <v>132</v>
      </c>
      <c r="P254" t="s">
        <v>77</v>
      </c>
      <c r="Q254" t="s">
        <v>78</v>
      </c>
      <c r="R254" t="s">
        <v>143</v>
      </c>
      <c r="S254" t="s">
        <v>79</v>
      </c>
      <c r="T254">
        <v>43201</v>
      </c>
      <c r="U254" t="s">
        <v>129</v>
      </c>
      <c r="V254">
        <v>51201</v>
      </c>
      <c r="W254" t="s">
        <v>81</v>
      </c>
      <c r="X254">
        <v>240430952</v>
      </c>
      <c r="Y254" t="s">
        <v>74</v>
      </c>
      <c r="Z254">
        <v>0</v>
      </c>
      <c r="AA254" t="s">
        <v>123</v>
      </c>
      <c r="AB254">
        <v>128.25</v>
      </c>
      <c r="AC254">
        <v>0</v>
      </c>
      <c r="AD254">
        <v>0</v>
      </c>
      <c r="AE254">
        <v>128.25</v>
      </c>
      <c r="AF254">
        <v>-128.25</v>
      </c>
      <c r="AG254">
        <v>0</v>
      </c>
      <c r="AH254">
        <v>0</v>
      </c>
      <c r="AI254">
        <v>128.25</v>
      </c>
      <c r="AJ254">
        <v>-128.25</v>
      </c>
      <c r="AK254">
        <v>0</v>
      </c>
      <c r="AL254">
        <v>-128.25</v>
      </c>
      <c r="AM254">
        <v>570</v>
      </c>
      <c r="AN254">
        <v>0</v>
      </c>
      <c r="AO254">
        <v>0</v>
      </c>
      <c r="AP254">
        <v>0</v>
      </c>
      <c r="AQ254">
        <v>0</v>
      </c>
    </row>
    <row r="255" spans="1:43" x14ac:dyDescent="0.25">
      <c r="A255">
        <v>254</v>
      </c>
      <c r="B255" t="s">
        <v>71</v>
      </c>
      <c r="C255" t="s">
        <v>72</v>
      </c>
      <c r="D255" t="s">
        <v>73</v>
      </c>
      <c r="E255" t="s">
        <v>74</v>
      </c>
      <c r="F255">
        <v>240430952</v>
      </c>
      <c r="G255">
        <v>6585973</v>
      </c>
      <c r="H255" t="s">
        <v>102</v>
      </c>
      <c r="I255" t="s">
        <v>76</v>
      </c>
      <c r="J255" t="s">
        <v>102</v>
      </c>
      <c r="K255" t="s">
        <v>516</v>
      </c>
      <c r="L255" t="s">
        <v>285</v>
      </c>
      <c r="M255" t="s">
        <v>285</v>
      </c>
      <c r="N255" t="s">
        <v>286</v>
      </c>
      <c r="O255" t="s">
        <v>132</v>
      </c>
      <c r="P255" t="s">
        <v>77</v>
      </c>
      <c r="Q255" t="s">
        <v>195</v>
      </c>
      <c r="R255" t="s">
        <v>149</v>
      </c>
      <c r="S255" t="s">
        <v>105</v>
      </c>
      <c r="T255">
        <v>41201</v>
      </c>
      <c r="U255" t="s">
        <v>85</v>
      </c>
      <c r="V255">
        <v>51201</v>
      </c>
      <c r="W255" t="s">
        <v>81</v>
      </c>
      <c r="X255">
        <v>240430952</v>
      </c>
      <c r="Y255" t="s">
        <v>74</v>
      </c>
      <c r="Z255">
        <v>2</v>
      </c>
      <c r="AA255" t="s">
        <v>123</v>
      </c>
      <c r="AB255">
        <v>285</v>
      </c>
      <c r="AC255">
        <v>0</v>
      </c>
      <c r="AD255">
        <v>0</v>
      </c>
      <c r="AE255">
        <v>285</v>
      </c>
      <c r="AF255">
        <v>570</v>
      </c>
      <c r="AG255">
        <v>113</v>
      </c>
      <c r="AH255">
        <v>226</v>
      </c>
      <c r="AI255">
        <v>172</v>
      </c>
      <c r="AJ255">
        <v>344</v>
      </c>
      <c r="AK255">
        <v>60.35</v>
      </c>
      <c r="AL255">
        <v>-128.25</v>
      </c>
      <c r="AM255">
        <v>570</v>
      </c>
      <c r="AN255">
        <v>-128.25</v>
      </c>
      <c r="AO255">
        <v>107.875</v>
      </c>
      <c r="AP255">
        <v>215.75</v>
      </c>
      <c r="AQ255">
        <v>48.839841</v>
      </c>
    </row>
    <row r="256" spans="1:43" x14ac:dyDescent="0.25">
      <c r="A256">
        <v>255</v>
      </c>
      <c r="B256" t="s">
        <v>71</v>
      </c>
      <c r="C256" t="s">
        <v>72</v>
      </c>
      <c r="D256" t="s">
        <v>73</v>
      </c>
      <c r="E256" t="s">
        <v>74</v>
      </c>
      <c r="F256">
        <v>240431033</v>
      </c>
      <c r="G256">
        <v>6586054</v>
      </c>
      <c r="H256" t="s">
        <v>102</v>
      </c>
      <c r="I256" t="s">
        <v>76</v>
      </c>
      <c r="J256" t="s">
        <v>102</v>
      </c>
      <c r="K256" t="s">
        <v>517</v>
      </c>
      <c r="L256" t="s">
        <v>285</v>
      </c>
      <c r="M256" t="s">
        <v>285</v>
      </c>
      <c r="N256" t="s">
        <v>286</v>
      </c>
      <c r="O256" t="s">
        <v>130</v>
      </c>
      <c r="P256" t="s">
        <v>77</v>
      </c>
      <c r="Q256" t="s">
        <v>107</v>
      </c>
      <c r="R256" t="s">
        <v>108</v>
      </c>
      <c r="S256" t="s">
        <v>84</v>
      </c>
      <c r="T256">
        <v>41201</v>
      </c>
      <c r="U256" t="s">
        <v>85</v>
      </c>
      <c r="V256">
        <v>51201</v>
      </c>
      <c r="W256" t="s">
        <v>81</v>
      </c>
      <c r="X256">
        <v>240431033</v>
      </c>
      <c r="Y256" t="s">
        <v>74</v>
      </c>
      <c r="Z256">
        <v>1</v>
      </c>
      <c r="AA256" t="s">
        <v>147</v>
      </c>
      <c r="AB256">
        <v>17.68</v>
      </c>
      <c r="AC256">
        <v>17.68</v>
      </c>
      <c r="AD256">
        <v>5.83</v>
      </c>
      <c r="AE256">
        <v>103.07</v>
      </c>
      <c r="AF256">
        <v>103.07</v>
      </c>
      <c r="AG256">
        <v>22</v>
      </c>
      <c r="AH256">
        <v>22</v>
      </c>
      <c r="AI256">
        <v>81.069999999999993</v>
      </c>
      <c r="AJ256">
        <v>81.069999999999993</v>
      </c>
      <c r="AK256">
        <v>78.66</v>
      </c>
      <c r="AL256">
        <v>-89.2</v>
      </c>
      <c r="AM256">
        <v>396.44</v>
      </c>
      <c r="AN256">
        <v>-23.19</v>
      </c>
      <c r="AO256">
        <v>57.88</v>
      </c>
      <c r="AP256">
        <v>57.88</v>
      </c>
      <c r="AQ256">
        <v>72.458687999999995</v>
      </c>
    </row>
    <row r="257" spans="1:43" x14ac:dyDescent="0.25">
      <c r="A257">
        <v>256</v>
      </c>
      <c r="B257" t="s">
        <v>71</v>
      </c>
      <c r="C257" t="s">
        <v>72</v>
      </c>
      <c r="D257" t="s">
        <v>73</v>
      </c>
      <c r="E257" t="s">
        <v>74</v>
      </c>
      <c r="F257">
        <v>240431033</v>
      </c>
      <c r="G257">
        <v>6586054</v>
      </c>
      <c r="H257" t="s">
        <v>102</v>
      </c>
      <c r="I257" t="s">
        <v>76</v>
      </c>
      <c r="J257" t="s">
        <v>102</v>
      </c>
      <c r="K257" t="s">
        <v>517</v>
      </c>
      <c r="L257" t="s">
        <v>285</v>
      </c>
      <c r="M257" t="s">
        <v>285</v>
      </c>
      <c r="N257" t="s">
        <v>286</v>
      </c>
      <c r="O257" t="s">
        <v>130</v>
      </c>
      <c r="P257" t="s">
        <v>77</v>
      </c>
      <c r="Q257" t="s">
        <v>78</v>
      </c>
      <c r="R257" t="s">
        <v>143</v>
      </c>
      <c r="S257" t="s">
        <v>79</v>
      </c>
      <c r="T257">
        <v>43201</v>
      </c>
      <c r="U257" t="s">
        <v>129</v>
      </c>
      <c r="V257">
        <v>51201</v>
      </c>
      <c r="W257" t="s">
        <v>81</v>
      </c>
      <c r="X257">
        <v>240431033</v>
      </c>
      <c r="Y257" t="s">
        <v>74</v>
      </c>
      <c r="Z257">
        <v>0</v>
      </c>
      <c r="AA257" t="s">
        <v>147</v>
      </c>
      <c r="AB257">
        <v>15.3</v>
      </c>
      <c r="AC257">
        <v>-15.3</v>
      </c>
      <c r="AD257">
        <v>5.83</v>
      </c>
      <c r="AE257">
        <v>89.2</v>
      </c>
      <c r="AF257">
        <v>-89.2</v>
      </c>
      <c r="AG257">
        <v>0</v>
      </c>
      <c r="AH257">
        <v>0</v>
      </c>
      <c r="AI257">
        <v>89.2</v>
      </c>
      <c r="AJ257">
        <v>-89.2</v>
      </c>
      <c r="AK257">
        <v>0</v>
      </c>
      <c r="AL257">
        <v>-89.2</v>
      </c>
      <c r="AM257">
        <v>396.44</v>
      </c>
      <c r="AN257">
        <v>0</v>
      </c>
      <c r="AO257">
        <v>0</v>
      </c>
      <c r="AP257">
        <v>0</v>
      </c>
      <c r="AQ257">
        <v>0</v>
      </c>
    </row>
    <row r="258" spans="1:43" x14ac:dyDescent="0.25">
      <c r="A258">
        <v>257</v>
      </c>
      <c r="B258" t="s">
        <v>71</v>
      </c>
      <c r="C258" t="s">
        <v>72</v>
      </c>
      <c r="D258" t="s">
        <v>73</v>
      </c>
      <c r="E258" t="s">
        <v>74</v>
      </c>
      <c r="F258">
        <v>240431033</v>
      </c>
      <c r="G258">
        <v>6586054</v>
      </c>
      <c r="H258" t="s">
        <v>102</v>
      </c>
      <c r="I258" t="s">
        <v>76</v>
      </c>
      <c r="J258" t="s">
        <v>102</v>
      </c>
      <c r="K258" t="s">
        <v>517</v>
      </c>
      <c r="L258" t="s">
        <v>285</v>
      </c>
      <c r="M258" t="s">
        <v>285</v>
      </c>
      <c r="N258" t="s">
        <v>286</v>
      </c>
      <c r="O258" t="s">
        <v>130</v>
      </c>
      <c r="P258" t="s">
        <v>77</v>
      </c>
      <c r="Q258" t="s">
        <v>89</v>
      </c>
      <c r="R258" t="s">
        <v>377</v>
      </c>
      <c r="S258" t="s">
        <v>84</v>
      </c>
      <c r="T258">
        <v>41201</v>
      </c>
      <c r="U258" t="s">
        <v>85</v>
      </c>
      <c r="V258">
        <v>51201</v>
      </c>
      <c r="W258" t="s">
        <v>81</v>
      </c>
      <c r="X258">
        <v>240431033</v>
      </c>
      <c r="Y258" t="s">
        <v>74</v>
      </c>
      <c r="Z258">
        <v>1</v>
      </c>
      <c r="AA258" t="s">
        <v>147</v>
      </c>
      <c r="AB258">
        <v>41.48</v>
      </c>
      <c r="AC258">
        <v>41.48</v>
      </c>
      <c r="AD258">
        <v>5.83</v>
      </c>
      <c r="AE258">
        <v>241.83</v>
      </c>
      <c r="AF258">
        <v>241.83</v>
      </c>
      <c r="AG258">
        <v>76</v>
      </c>
      <c r="AH258">
        <v>76</v>
      </c>
      <c r="AI258">
        <v>165.83</v>
      </c>
      <c r="AJ258">
        <v>165.83</v>
      </c>
      <c r="AK258">
        <v>68.569999999999993</v>
      </c>
      <c r="AL258">
        <v>-89.2</v>
      </c>
      <c r="AM258">
        <v>396.44</v>
      </c>
      <c r="AN258">
        <v>-54.41</v>
      </c>
      <c r="AO258">
        <v>111.42</v>
      </c>
      <c r="AP258">
        <v>111.42</v>
      </c>
      <c r="AQ258">
        <v>59.449365</v>
      </c>
    </row>
    <row r="259" spans="1:43" x14ac:dyDescent="0.25">
      <c r="A259">
        <v>258</v>
      </c>
      <c r="B259" t="s">
        <v>71</v>
      </c>
      <c r="C259" t="s">
        <v>72</v>
      </c>
      <c r="D259" t="s">
        <v>73</v>
      </c>
      <c r="E259" t="s">
        <v>74</v>
      </c>
      <c r="F259">
        <v>240431033</v>
      </c>
      <c r="G259">
        <v>6586054</v>
      </c>
      <c r="H259" t="s">
        <v>102</v>
      </c>
      <c r="I259" t="s">
        <v>76</v>
      </c>
      <c r="J259" t="s">
        <v>102</v>
      </c>
      <c r="K259" t="s">
        <v>517</v>
      </c>
      <c r="L259" t="s">
        <v>285</v>
      </c>
      <c r="M259" t="s">
        <v>285</v>
      </c>
      <c r="N259" t="s">
        <v>286</v>
      </c>
      <c r="O259" t="s">
        <v>130</v>
      </c>
      <c r="P259" t="s">
        <v>77</v>
      </c>
      <c r="Q259" t="s">
        <v>82</v>
      </c>
      <c r="R259" t="s">
        <v>112</v>
      </c>
      <c r="S259" t="s">
        <v>84</v>
      </c>
      <c r="T259">
        <v>41201</v>
      </c>
      <c r="U259" t="s">
        <v>85</v>
      </c>
      <c r="V259">
        <v>51201</v>
      </c>
      <c r="W259" t="s">
        <v>81</v>
      </c>
      <c r="X259">
        <v>240431033</v>
      </c>
      <c r="Y259" t="s">
        <v>74</v>
      </c>
      <c r="Z259">
        <v>1</v>
      </c>
      <c r="AA259" t="s">
        <v>147</v>
      </c>
      <c r="AB259">
        <v>8.84</v>
      </c>
      <c r="AC259">
        <v>8.84</v>
      </c>
      <c r="AD259">
        <v>5.83</v>
      </c>
      <c r="AE259">
        <v>51.54</v>
      </c>
      <c r="AF259">
        <v>51.54</v>
      </c>
      <c r="AG259">
        <v>18</v>
      </c>
      <c r="AH259">
        <v>18</v>
      </c>
      <c r="AI259">
        <v>33.54</v>
      </c>
      <c r="AJ259">
        <v>33.54</v>
      </c>
      <c r="AK259">
        <v>65.08</v>
      </c>
      <c r="AL259">
        <v>-89.2</v>
      </c>
      <c r="AM259">
        <v>396.44</v>
      </c>
      <c r="AN259">
        <v>-11.6</v>
      </c>
      <c r="AO259">
        <v>21.94</v>
      </c>
      <c r="AP259">
        <v>21.94</v>
      </c>
      <c r="AQ259">
        <v>54.932397999999999</v>
      </c>
    </row>
    <row r="260" spans="1:43" x14ac:dyDescent="0.25">
      <c r="A260">
        <v>259</v>
      </c>
      <c r="B260" t="s">
        <v>71</v>
      </c>
      <c r="C260" t="s">
        <v>72</v>
      </c>
      <c r="D260" t="s">
        <v>73</v>
      </c>
      <c r="E260" t="s">
        <v>74</v>
      </c>
      <c r="F260">
        <v>240431329</v>
      </c>
      <c r="G260">
        <v>6586350</v>
      </c>
      <c r="H260" t="s">
        <v>102</v>
      </c>
      <c r="I260" t="s">
        <v>76</v>
      </c>
      <c r="J260" t="s">
        <v>102</v>
      </c>
      <c r="K260" t="s">
        <v>518</v>
      </c>
      <c r="L260" t="s">
        <v>285</v>
      </c>
      <c r="M260" t="s">
        <v>285</v>
      </c>
      <c r="N260" t="s">
        <v>286</v>
      </c>
      <c r="O260" t="s">
        <v>132</v>
      </c>
      <c r="P260" t="s">
        <v>77</v>
      </c>
      <c r="Q260" t="s">
        <v>214</v>
      </c>
      <c r="R260" t="s">
        <v>215</v>
      </c>
      <c r="S260" t="s">
        <v>84</v>
      </c>
      <c r="T260">
        <v>41201</v>
      </c>
      <c r="U260" t="s">
        <v>85</v>
      </c>
      <c r="V260">
        <v>51201</v>
      </c>
      <c r="W260" t="s">
        <v>81</v>
      </c>
      <c r="X260">
        <v>240431329</v>
      </c>
      <c r="Y260" t="s">
        <v>74</v>
      </c>
      <c r="Z260">
        <v>1</v>
      </c>
      <c r="AA260" t="s">
        <v>123</v>
      </c>
      <c r="AB260">
        <v>970</v>
      </c>
      <c r="AC260">
        <v>0</v>
      </c>
      <c r="AD260">
        <v>0</v>
      </c>
      <c r="AE260">
        <v>970</v>
      </c>
      <c r="AF260">
        <v>970</v>
      </c>
      <c r="AG260">
        <v>359.27</v>
      </c>
      <c r="AH260">
        <v>359.27</v>
      </c>
      <c r="AI260">
        <v>610.73</v>
      </c>
      <c r="AJ260">
        <v>610.73</v>
      </c>
      <c r="AK260">
        <v>62.96</v>
      </c>
      <c r="AL260">
        <v>-261.89999999999998</v>
      </c>
      <c r="AM260">
        <v>970</v>
      </c>
      <c r="AN260">
        <v>-261.89999999999998</v>
      </c>
      <c r="AO260">
        <v>348.83</v>
      </c>
      <c r="AP260">
        <v>348.83</v>
      </c>
      <c r="AQ260">
        <v>49.262815000000003</v>
      </c>
    </row>
    <row r="261" spans="1:43" x14ac:dyDescent="0.25">
      <c r="A261">
        <v>260</v>
      </c>
      <c r="B261" t="s">
        <v>71</v>
      </c>
      <c r="C261" t="s">
        <v>72</v>
      </c>
      <c r="D261" t="s">
        <v>73</v>
      </c>
      <c r="E261" t="s">
        <v>74</v>
      </c>
      <c r="F261">
        <v>240431329</v>
      </c>
      <c r="G261">
        <v>6586350</v>
      </c>
      <c r="H261" t="s">
        <v>102</v>
      </c>
      <c r="I261" t="s">
        <v>76</v>
      </c>
      <c r="J261" t="s">
        <v>102</v>
      </c>
      <c r="K261" t="s">
        <v>518</v>
      </c>
      <c r="L261" t="s">
        <v>285</v>
      </c>
      <c r="M261" t="s">
        <v>285</v>
      </c>
      <c r="N261" t="s">
        <v>286</v>
      </c>
      <c r="O261" t="s">
        <v>132</v>
      </c>
      <c r="P261" t="s">
        <v>77</v>
      </c>
      <c r="Q261" t="s">
        <v>78</v>
      </c>
      <c r="R261" t="s">
        <v>143</v>
      </c>
      <c r="S261" t="s">
        <v>79</v>
      </c>
      <c r="T261">
        <v>43201</v>
      </c>
      <c r="U261" t="s">
        <v>129</v>
      </c>
      <c r="V261">
        <v>51201</v>
      </c>
      <c r="W261" t="s">
        <v>81</v>
      </c>
      <c r="X261">
        <v>240431329</v>
      </c>
      <c r="Y261" t="s">
        <v>74</v>
      </c>
      <c r="Z261">
        <v>0</v>
      </c>
      <c r="AA261" t="s">
        <v>123</v>
      </c>
      <c r="AB261">
        <v>261.89999999999998</v>
      </c>
      <c r="AC261">
        <v>0</v>
      </c>
      <c r="AD261">
        <v>0</v>
      </c>
      <c r="AE261">
        <v>261.89999999999998</v>
      </c>
      <c r="AF261">
        <v>-261.89999999999998</v>
      </c>
      <c r="AG261">
        <v>0</v>
      </c>
      <c r="AH261">
        <v>0</v>
      </c>
      <c r="AI261">
        <v>261.89999999999998</v>
      </c>
      <c r="AJ261">
        <v>-261.89999999999998</v>
      </c>
      <c r="AK261">
        <v>0</v>
      </c>
      <c r="AL261">
        <v>-261.89999999999998</v>
      </c>
      <c r="AM261">
        <v>970</v>
      </c>
      <c r="AN261">
        <v>0</v>
      </c>
      <c r="AO261">
        <v>0</v>
      </c>
      <c r="AP261">
        <v>0</v>
      </c>
      <c r="AQ261">
        <v>0</v>
      </c>
    </row>
    <row r="262" spans="1:43" x14ac:dyDescent="0.25">
      <c r="A262">
        <v>261</v>
      </c>
      <c r="B262" t="s">
        <v>71</v>
      </c>
      <c r="C262" t="s">
        <v>72</v>
      </c>
      <c r="D262" t="s">
        <v>73</v>
      </c>
      <c r="E262" t="s">
        <v>74</v>
      </c>
      <c r="F262">
        <v>240431565</v>
      </c>
      <c r="G262">
        <v>6586586</v>
      </c>
      <c r="H262" t="s">
        <v>102</v>
      </c>
      <c r="I262" t="s">
        <v>76</v>
      </c>
      <c r="J262" t="s">
        <v>102</v>
      </c>
      <c r="K262" t="s">
        <v>519</v>
      </c>
      <c r="L262" t="s">
        <v>285</v>
      </c>
      <c r="M262" t="s">
        <v>285</v>
      </c>
      <c r="N262" t="s">
        <v>286</v>
      </c>
      <c r="O262" t="s">
        <v>130</v>
      </c>
      <c r="P262" t="s">
        <v>77</v>
      </c>
      <c r="Q262" t="s">
        <v>187</v>
      </c>
      <c r="R262" t="s">
        <v>188</v>
      </c>
      <c r="S262" t="s">
        <v>105</v>
      </c>
      <c r="T262">
        <v>41201</v>
      </c>
      <c r="U262" t="s">
        <v>85</v>
      </c>
      <c r="V262">
        <v>51201</v>
      </c>
      <c r="W262" t="s">
        <v>81</v>
      </c>
      <c r="X262">
        <v>240431565</v>
      </c>
      <c r="Y262" t="s">
        <v>74</v>
      </c>
      <c r="Z262">
        <v>2</v>
      </c>
      <c r="AA262" t="s">
        <v>147</v>
      </c>
      <c r="AB262">
        <v>67.5</v>
      </c>
      <c r="AC262">
        <v>135</v>
      </c>
      <c r="AD262">
        <v>5.83</v>
      </c>
      <c r="AE262">
        <v>393.52499999999998</v>
      </c>
      <c r="AF262">
        <v>787.05</v>
      </c>
      <c r="AG262">
        <v>145.22999999999999</v>
      </c>
      <c r="AH262">
        <v>290.45999999999998</v>
      </c>
      <c r="AI262">
        <v>248.3</v>
      </c>
      <c r="AJ262">
        <v>496.59</v>
      </c>
      <c r="AK262">
        <v>63.1</v>
      </c>
      <c r="AL262">
        <v>-141.66999999999999</v>
      </c>
      <c r="AM262">
        <v>787.05</v>
      </c>
      <c r="AN262">
        <v>-141.66999999999999</v>
      </c>
      <c r="AO262">
        <v>177.46</v>
      </c>
      <c r="AP262">
        <v>354.92</v>
      </c>
      <c r="AQ262">
        <v>54.993957000000002</v>
      </c>
    </row>
    <row r="263" spans="1:43" x14ac:dyDescent="0.25">
      <c r="A263">
        <v>262</v>
      </c>
      <c r="B263" t="s">
        <v>71</v>
      </c>
      <c r="C263" t="s">
        <v>72</v>
      </c>
      <c r="D263" t="s">
        <v>73</v>
      </c>
      <c r="E263" t="s">
        <v>74</v>
      </c>
      <c r="F263">
        <v>240431565</v>
      </c>
      <c r="G263">
        <v>6586586</v>
      </c>
      <c r="H263" t="s">
        <v>102</v>
      </c>
      <c r="I263" t="s">
        <v>76</v>
      </c>
      <c r="J263" t="s">
        <v>102</v>
      </c>
      <c r="K263" t="s">
        <v>519</v>
      </c>
      <c r="L263" t="s">
        <v>285</v>
      </c>
      <c r="M263" t="s">
        <v>285</v>
      </c>
      <c r="N263" t="s">
        <v>286</v>
      </c>
      <c r="O263" t="s">
        <v>130</v>
      </c>
      <c r="P263" t="s">
        <v>77</v>
      </c>
      <c r="Q263" t="s">
        <v>78</v>
      </c>
      <c r="R263" t="s">
        <v>143</v>
      </c>
      <c r="S263" t="s">
        <v>79</v>
      </c>
      <c r="T263">
        <v>43201</v>
      </c>
      <c r="U263" t="s">
        <v>129</v>
      </c>
      <c r="V263">
        <v>51201</v>
      </c>
      <c r="W263" t="s">
        <v>81</v>
      </c>
      <c r="X263">
        <v>240431565</v>
      </c>
      <c r="Y263" t="s">
        <v>74</v>
      </c>
      <c r="Z263">
        <v>0</v>
      </c>
      <c r="AA263" t="s">
        <v>147</v>
      </c>
      <c r="AB263">
        <v>24.3</v>
      </c>
      <c r="AC263">
        <v>-24.3</v>
      </c>
      <c r="AD263">
        <v>5.83</v>
      </c>
      <c r="AE263">
        <v>141.66999999999999</v>
      </c>
      <c r="AF263">
        <v>-141.66999999999999</v>
      </c>
      <c r="AG263">
        <v>0</v>
      </c>
      <c r="AH263">
        <v>0</v>
      </c>
      <c r="AI263">
        <v>141.66999999999999</v>
      </c>
      <c r="AJ263">
        <v>-141.66999999999999</v>
      </c>
      <c r="AK263">
        <v>0</v>
      </c>
      <c r="AL263">
        <v>-141.66999999999999</v>
      </c>
      <c r="AM263">
        <v>787.05</v>
      </c>
      <c r="AN263">
        <v>0</v>
      </c>
      <c r="AO263">
        <v>0</v>
      </c>
      <c r="AP263">
        <v>0</v>
      </c>
      <c r="AQ263">
        <v>0</v>
      </c>
    </row>
    <row r="264" spans="1:43" x14ac:dyDescent="0.25">
      <c r="A264">
        <v>263</v>
      </c>
      <c r="B264" t="s">
        <v>71</v>
      </c>
      <c r="C264" t="s">
        <v>72</v>
      </c>
      <c r="D264" t="s">
        <v>73</v>
      </c>
      <c r="E264" t="s">
        <v>74</v>
      </c>
      <c r="F264">
        <v>240431657</v>
      </c>
      <c r="G264">
        <v>6586679</v>
      </c>
      <c r="H264" t="s">
        <v>102</v>
      </c>
      <c r="I264" t="s">
        <v>76</v>
      </c>
      <c r="J264" t="s">
        <v>102</v>
      </c>
      <c r="K264" t="s">
        <v>520</v>
      </c>
      <c r="L264" t="s">
        <v>285</v>
      </c>
      <c r="M264" t="s">
        <v>285</v>
      </c>
      <c r="N264" t="s">
        <v>286</v>
      </c>
      <c r="O264" t="s">
        <v>10</v>
      </c>
      <c r="P264" t="s">
        <v>77</v>
      </c>
      <c r="Q264" t="s">
        <v>107</v>
      </c>
      <c r="R264" t="s">
        <v>108</v>
      </c>
      <c r="S264" t="s">
        <v>84</v>
      </c>
      <c r="T264">
        <v>41201</v>
      </c>
      <c r="U264" t="s">
        <v>85</v>
      </c>
      <c r="V264">
        <v>51201</v>
      </c>
      <c r="W264" t="s">
        <v>81</v>
      </c>
      <c r="X264">
        <v>240431657</v>
      </c>
      <c r="Y264" t="s">
        <v>74</v>
      </c>
      <c r="Z264">
        <v>2</v>
      </c>
      <c r="AA264" t="s">
        <v>152</v>
      </c>
      <c r="AB264">
        <v>46</v>
      </c>
      <c r="AC264">
        <v>92</v>
      </c>
      <c r="AD264">
        <v>1.76</v>
      </c>
      <c r="AE264">
        <v>80.959999999999994</v>
      </c>
      <c r="AF264">
        <v>161.91999999999999</v>
      </c>
      <c r="AG264">
        <v>22</v>
      </c>
      <c r="AH264">
        <v>44</v>
      </c>
      <c r="AI264">
        <v>58.96</v>
      </c>
      <c r="AJ264">
        <v>117.92</v>
      </c>
      <c r="AK264">
        <v>72.83</v>
      </c>
      <c r="AL264">
        <v>0</v>
      </c>
      <c r="AM264">
        <v>161.91999999999999</v>
      </c>
      <c r="AN264">
        <v>0</v>
      </c>
      <c r="AO264">
        <v>58.96</v>
      </c>
      <c r="AP264">
        <v>117.92</v>
      </c>
      <c r="AQ264">
        <v>72.826086000000004</v>
      </c>
    </row>
    <row r="265" spans="1:43" x14ac:dyDescent="0.25">
      <c r="A265">
        <v>264</v>
      </c>
      <c r="B265" t="s">
        <v>71</v>
      </c>
      <c r="C265" t="s">
        <v>72</v>
      </c>
      <c r="D265" t="s">
        <v>73</v>
      </c>
      <c r="E265" t="s">
        <v>74</v>
      </c>
      <c r="F265">
        <v>240431714</v>
      </c>
      <c r="G265">
        <v>6586736</v>
      </c>
      <c r="H265" t="s">
        <v>102</v>
      </c>
      <c r="I265" t="s">
        <v>76</v>
      </c>
      <c r="J265" t="s">
        <v>102</v>
      </c>
      <c r="K265" t="s">
        <v>521</v>
      </c>
      <c r="L265" t="s">
        <v>285</v>
      </c>
      <c r="M265" t="s">
        <v>285</v>
      </c>
      <c r="N265" t="s">
        <v>286</v>
      </c>
      <c r="O265" t="s">
        <v>132</v>
      </c>
      <c r="P265" t="s">
        <v>77</v>
      </c>
      <c r="Q265" t="s">
        <v>78</v>
      </c>
      <c r="R265" t="s">
        <v>143</v>
      </c>
      <c r="S265" t="s">
        <v>79</v>
      </c>
      <c r="T265">
        <v>43201</v>
      </c>
      <c r="U265" t="s">
        <v>129</v>
      </c>
      <c r="V265">
        <v>51201</v>
      </c>
      <c r="W265" t="s">
        <v>81</v>
      </c>
      <c r="X265">
        <v>240431714</v>
      </c>
      <c r="Y265" t="s">
        <v>74</v>
      </c>
      <c r="Z265">
        <v>0</v>
      </c>
      <c r="AA265" t="s">
        <v>123</v>
      </c>
      <c r="AB265">
        <v>81</v>
      </c>
      <c r="AC265">
        <v>0</v>
      </c>
      <c r="AD265">
        <v>0</v>
      </c>
      <c r="AE265">
        <v>81</v>
      </c>
      <c r="AF265">
        <v>-81</v>
      </c>
      <c r="AG265">
        <v>0</v>
      </c>
      <c r="AH265">
        <v>0</v>
      </c>
      <c r="AI265">
        <v>81</v>
      </c>
      <c r="AJ265">
        <v>-81</v>
      </c>
      <c r="AK265">
        <v>0</v>
      </c>
      <c r="AL265">
        <v>-81</v>
      </c>
      <c r="AM265">
        <v>300</v>
      </c>
      <c r="AN265">
        <v>0</v>
      </c>
      <c r="AO265">
        <v>0</v>
      </c>
      <c r="AP265">
        <v>0</v>
      </c>
      <c r="AQ265">
        <v>0</v>
      </c>
    </row>
    <row r="266" spans="1:43" x14ac:dyDescent="0.25">
      <c r="A266">
        <v>265</v>
      </c>
      <c r="B266" t="s">
        <v>71</v>
      </c>
      <c r="C266" t="s">
        <v>72</v>
      </c>
      <c r="D266" t="s">
        <v>73</v>
      </c>
      <c r="E266" t="s">
        <v>74</v>
      </c>
      <c r="F266">
        <v>240431714</v>
      </c>
      <c r="G266">
        <v>6586736</v>
      </c>
      <c r="H266" t="s">
        <v>102</v>
      </c>
      <c r="I266" t="s">
        <v>76</v>
      </c>
      <c r="J266" t="s">
        <v>102</v>
      </c>
      <c r="K266" t="s">
        <v>521</v>
      </c>
      <c r="L266" t="s">
        <v>285</v>
      </c>
      <c r="M266" t="s">
        <v>285</v>
      </c>
      <c r="N266" t="s">
        <v>286</v>
      </c>
      <c r="O266" t="s">
        <v>132</v>
      </c>
      <c r="P266" t="s">
        <v>77</v>
      </c>
      <c r="Q266" t="s">
        <v>82</v>
      </c>
      <c r="R266" t="s">
        <v>112</v>
      </c>
      <c r="S266" t="s">
        <v>84</v>
      </c>
      <c r="T266">
        <v>41201</v>
      </c>
      <c r="U266" t="s">
        <v>85</v>
      </c>
      <c r="V266">
        <v>51201</v>
      </c>
      <c r="W266" t="s">
        <v>81</v>
      </c>
      <c r="X266">
        <v>240431714</v>
      </c>
      <c r="Y266" t="s">
        <v>74</v>
      </c>
      <c r="Z266">
        <v>6</v>
      </c>
      <c r="AA266" t="s">
        <v>123</v>
      </c>
      <c r="AB266">
        <v>50</v>
      </c>
      <c r="AC266">
        <v>0</v>
      </c>
      <c r="AD266">
        <v>0</v>
      </c>
      <c r="AE266">
        <v>50</v>
      </c>
      <c r="AF266">
        <v>300</v>
      </c>
      <c r="AG266">
        <v>18</v>
      </c>
      <c r="AH266">
        <v>108</v>
      </c>
      <c r="AI266">
        <v>32</v>
      </c>
      <c r="AJ266">
        <v>192</v>
      </c>
      <c r="AK266">
        <v>64</v>
      </c>
      <c r="AL266">
        <v>-81</v>
      </c>
      <c r="AM266">
        <v>300</v>
      </c>
      <c r="AN266">
        <v>-81</v>
      </c>
      <c r="AO266">
        <v>18.5</v>
      </c>
      <c r="AP266">
        <v>111</v>
      </c>
      <c r="AQ266">
        <v>50.684930999999999</v>
      </c>
    </row>
    <row r="267" spans="1:43" x14ac:dyDescent="0.25">
      <c r="A267">
        <v>266</v>
      </c>
      <c r="B267" t="s">
        <v>71</v>
      </c>
      <c r="C267" t="s">
        <v>72</v>
      </c>
      <c r="D267" t="s">
        <v>73</v>
      </c>
      <c r="E267" t="s">
        <v>74</v>
      </c>
      <c r="F267">
        <v>240431810</v>
      </c>
      <c r="G267">
        <v>6586833</v>
      </c>
      <c r="H267" t="s">
        <v>102</v>
      </c>
      <c r="I267" t="s">
        <v>76</v>
      </c>
      <c r="J267" t="s">
        <v>102</v>
      </c>
      <c r="K267" t="s">
        <v>522</v>
      </c>
      <c r="L267" t="s">
        <v>285</v>
      </c>
      <c r="M267" t="s">
        <v>285</v>
      </c>
      <c r="N267" t="s">
        <v>286</v>
      </c>
      <c r="O267" t="s">
        <v>130</v>
      </c>
      <c r="P267" t="s">
        <v>77</v>
      </c>
      <c r="Q267" t="s">
        <v>212</v>
      </c>
      <c r="R267" t="s">
        <v>213</v>
      </c>
      <c r="S267" t="s">
        <v>105</v>
      </c>
      <c r="T267">
        <v>41201</v>
      </c>
      <c r="U267" t="s">
        <v>85</v>
      </c>
      <c r="V267">
        <v>51201</v>
      </c>
      <c r="W267" t="s">
        <v>81</v>
      </c>
      <c r="X267">
        <v>240431810</v>
      </c>
      <c r="Y267" t="s">
        <v>74</v>
      </c>
      <c r="Z267">
        <v>1</v>
      </c>
      <c r="AA267" t="s">
        <v>147</v>
      </c>
      <c r="AB267">
        <v>63</v>
      </c>
      <c r="AC267">
        <v>63</v>
      </c>
      <c r="AD267">
        <v>5.83</v>
      </c>
      <c r="AE267">
        <v>367.29</v>
      </c>
      <c r="AF267">
        <v>367.29</v>
      </c>
      <c r="AG267">
        <v>128</v>
      </c>
      <c r="AH267">
        <v>128</v>
      </c>
      <c r="AI267">
        <v>239.29</v>
      </c>
      <c r="AJ267">
        <v>239.29</v>
      </c>
      <c r="AK267">
        <v>65.150000000000006</v>
      </c>
      <c r="AL267">
        <v>-66.11</v>
      </c>
      <c r="AM267">
        <v>367.29</v>
      </c>
      <c r="AN267">
        <v>-66.11</v>
      </c>
      <c r="AO267">
        <v>173.18</v>
      </c>
      <c r="AP267">
        <v>173.18</v>
      </c>
      <c r="AQ267">
        <v>57.500498</v>
      </c>
    </row>
    <row r="268" spans="1:43" x14ac:dyDescent="0.25">
      <c r="A268">
        <v>267</v>
      </c>
      <c r="B268" t="s">
        <v>71</v>
      </c>
      <c r="C268" t="s">
        <v>72</v>
      </c>
      <c r="D268" t="s">
        <v>73</v>
      </c>
      <c r="E268" t="s">
        <v>74</v>
      </c>
      <c r="F268">
        <v>240431810</v>
      </c>
      <c r="G268">
        <v>6586833</v>
      </c>
      <c r="H268" t="s">
        <v>102</v>
      </c>
      <c r="I268" t="s">
        <v>76</v>
      </c>
      <c r="J268" t="s">
        <v>102</v>
      </c>
      <c r="K268" t="s">
        <v>522</v>
      </c>
      <c r="L268" t="s">
        <v>285</v>
      </c>
      <c r="M268" t="s">
        <v>285</v>
      </c>
      <c r="N268" t="s">
        <v>286</v>
      </c>
      <c r="O268" t="s">
        <v>130</v>
      </c>
      <c r="P268" t="s">
        <v>77</v>
      </c>
      <c r="Q268" t="s">
        <v>78</v>
      </c>
      <c r="R268" t="s">
        <v>143</v>
      </c>
      <c r="S268" t="s">
        <v>79</v>
      </c>
      <c r="T268">
        <v>43201</v>
      </c>
      <c r="U268" t="s">
        <v>129</v>
      </c>
      <c r="V268">
        <v>51201</v>
      </c>
      <c r="W268" t="s">
        <v>81</v>
      </c>
      <c r="X268">
        <v>240431810</v>
      </c>
      <c r="Y268" t="s">
        <v>74</v>
      </c>
      <c r="Z268">
        <v>0</v>
      </c>
      <c r="AA268" t="s">
        <v>147</v>
      </c>
      <c r="AB268">
        <v>11.34</v>
      </c>
      <c r="AC268">
        <v>-11.34</v>
      </c>
      <c r="AD268">
        <v>5.83</v>
      </c>
      <c r="AE268">
        <v>66.11</v>
      </c>
      <c r="AF268">
        <v>-66.11</v>
      </c>
      <c r="AG268">
        <v>0</v>
      </c>
      <c r="AH268">
        <v>0</v>
      </c>
      <c r="AI268">
        <v>66.11</v>
      </c>
      <c r="AJ268">
        <v>-66.11</v>
      </c>
      <c r="AK268">
        <v>0</v>
      </c>
      <c r="AL268">
        <v>-66.11</v>
      </c>
      <c r="AM268">
        <v>367.29</v>
      </c>
      <c r="AN268">
        <v>0</v>
      </c>
      <c r="AO268">
        <v>0</v>
      </c>
      <c r="AP268">
        <v>0</v>
      </c>
      <c r="AQ268">
        <v>0</v>
      </c>
    </row>
    <row r="269" spans="1:43" x14ac:dyDescent="0.25">
      <c r="A269">
        <v>268</v>
      </c>
      <c r="B269" t="s">
        <v>71</v>
      </c>
      <c r="C269" t="s">
        <v>72</v>
      </c>
      <c r="D269" t="s">
        <v>73</v>
      </c>
      <c r="E269" t="s">
        <v>74</v>
      </c>
      <c r="F269">
        <v>240431847</v>
      </c>
      <c r="G269">
        <v>6586870</v>
      </c>
      <c r="H269" t="s">
        <v>102</v>
      </c>
      <c r="I269" t="s">
        <v>76</v>
      </c>
      <c r="J269" t="s">
        <v>102</v>
      </c>
      <c r="K269" t="s">
        <v>523</v>
      </c>
      <c r="L269" t="s">
        <v>285</v>
      </c>
      <c r="M269" t="s">
        <v>285</v>
      </c>
      <c r="N269" t="s">
        <v>286</v>
      </c>
      <c r="O269" t="s">
        <v>130</v>
      </c>
      <c r="P269" t="s">
        <v>77</v>
      </c>
      <c r="Q269" t="s">
        <v>78</v>
      </c>
      <c r="R269" t="s">
        <v>143</v>
      </c>
      <c r="S269" t="s">
        <v>79</v>
      </c>
      <c r="T269">
        <v>43201</v>
      </c>
      <c r="U269" t="s">
        <v>129</v>
      </c>
      <c r="V269">
        <v>51201</v>
      </c>
      <c r="W269" t="s">
        <v>81</v>
      </c>
      <c r="X269">
        <v>240431847</v>
      </c>
      <c r="Y269" t="s">
        <v>74</v>
      </c>
      <c r="Z269">
        <v>0</v>
      </c>
      <c r="AA269" t="s">
        <v>147</v>
      </c>
      <c r="AB269">
        <v>20.88</v>
      </c>
      <c r="AC269">
        <v>-20.88</v>
      </c>
      <c r="AD269">
        <v>5.83</v>
      </c>
      <c r="AE269">
        <v>121.73</v>
      </c>
      <c r="AF269">
        <v>-121.73</v>
      </c>
      <c r="AG269">
        <v>0</v>
      </c>
      <c r="AH269">
        <v>0</v>
      </c>
      <c r="AI269">
        <v>121.73</v>
      </c>
      <c r="AJ269">
        <v>-121.73</v>
      </c>
      <c r="AK269">
        <v>0</v>
      </c>
      <c r="AL269">
        <v>-121.73</v>
      </c>
      <c r="AM269">
        <v>676.28</v>
      </c>
      <c r="AN269">
        <v>0</v>
      </c>
      <c r="AO269">
        <v>0</v>
      </c>
      <c r="AP269">
        <v>0</v>
      </c>
      <c r="AQ269">
        <v>0</v>
      </c>
    </row>
    <row r="270" spans="1:43" x14ac:dyDescent="0.25">
      <c r="A270">
        <v>269</v>
      </c>
      <c r="B270" t="s">
        <v>71</v>
      </c>
      <c r="C270" t="s">
        <v>72</v>
      </c>
      <c r="D270" t="s">
        <v>73</v>
      </c>
      <c r="E270" t="s">
        <v>74</v>
      </c>
      <c r="F270">
        <v>240431847</v>
      </c>
      <c r="G270">
        <v>6586870</v>
      </c>
      <c r="H270" t="s">
        <v>102</v>
      </c>
      <c r="I270" t="s">
        <v>76</v>
      </c>
      <c r="J270" t="s">
        <v>102</v>
      </c>
      <c r="K270" t="s">
        <v>523</v>
      </c>
      <c r="L270" t="s">
        <v>285</v>
      </c>
      <c r="M270" t="s">
        <v>285</v>
      </c>
      <c r="N270" t="s">
        <v>286</v>
      </c>
      <c r="O270" t="s">
        <v>130</v>
      </c>
      <c r="P270" t="s">
        <v>77</v>
      </c>
      <c r="Q270" t="s">
        <v>524</v>
      </c>
      <c r="R270" t="s">
        <v>525</v>
      </c>
      <c r="S270" t="s">
        <v>84</v>
      </c>
      <c r="T270">
        <v>41201</v>
      </c>
      <c r="U270" t="s">
        <v>85</v>
      </c>
      <c r="V270">
        <v>51201</v>
      </c>
      <c r="W270" t="s">
        <v>81</v>
      </c>
      <c r="X270">
        <v>240431847</v>
      </c>
      <c r="Y270" t="s">
        <v>74</v>
      </c>
      <c r="Z270">
        <v>2</v>
      </c>
      <c r="AA270" t="s">
        <v>147</v>
      </c>
      <c r="AB270">
        <v>58</v>
      </c>
      <c r="AC270">
        <v>116</v>
      </c>
      <c r="AD270">
        <v>5.83</v>
      </c>
      <c r="AE270">
        <v>338.14</v>
      </c>
      <c r="AF270">
        <v>676.28</v>
      </c>
      <c r="AG270">
        <v>100.02</v>
      </c>
      <c r="AH270">
        <v>200.04</v>
      </c>
      <c r="AI270">
        <v>238.12</v>
      </c>
      <c r="AJ270">
        <v>476.24</v>
      </c>
      <c r="AK270">
        <v>70.42</v>
      </c>
      <c r="AL270">
        <v>-121.73</v>
      </c>
      <c r="AM270">
        <v>676.28</v>
      </c>
      <c r="AN270">
        <v>-121.73</v>
      </c>
      <c r="AO270">
        <v>177.255</v>
      </c>
      <c r="AP270">
        <v>354.51</v>
      </c>
      <c r="AQ270">
        <v>63.927508000000003</v>
      </c>
    </row>
    <row r="271" spans="1:43" x14ac:dyDescent="0.25">
      <c r="A271">
        <v>270</v>
      </c>
      <c r="B271" t="s">
        <v>71</v>
      </c>
      <c r="C271" t="s">
        <v>72</v>
      </c>
      <c r="D271" t="s">
        <v>73</v>
      </c>
      <c r="E271" t="s">
        <v>74</v>
      </c>
      <c r="F271">
        <v>240431957</v>
      </c>
      <c r="G271">
        <v>6586980</v>
      </c>
      <c r="H271" t="s">
        <v>102</v>
      </c>
      <c r="I271" t="s">
        <v>76</v>
      </c>
      <c r="J271" t="s">
        <v>102</v>
      </c>
      <c r="K271" t="s">
        <v>526</v>
      </c>
      <c r="L271" t="s">
        <v>285</v>
      </c>
      <c r="M271" t="s">
        <v>285</v>
      </c>
      <c r="N271" t="s">
        <v>286</v>
      </c>
      <c r="O271" t="s">
        <v>10</v>
      </c>
      <c r="P271" t="s">
        <v>77</v>
      </c>
      <c r="Q271" t="s">
        <v>233</v>
      </c>
      <c r="R271" t="s">
        <v>234</v>
      </c>
      <c r="S271" t="s">
        <v>105</v>
      </c>
      <c r="T271">
        <v>41201</v>
      </c>
      <c r="U271" t="s">
        <v>85</v>
      </c>
      <c r="V271">
        <v>51201</v>
      </c>
      <c r="W271" t="s">
        <v>81</v>
      </c>
      <c r="X271">
        <v>240431957</v>
      </c>
      <c r="Y271" t="s">
        <v>74</v>
      </c>
      <c r="Z271">
        <v>2</v>
      </c>
      <c r="AA271" t="s">
        <v>152</v>
      </c>
      <c r="AB271">
        <v>143.55000000000001</v>
      </c>
      <c r="AC271">
        <v>287.10000000000002</v>
      </c>
      <c r="AD271">
        <v>1.76</v>
      </c>
      <c r="AE271">
        <v>252.65</v>
      </c>
      <c r="AF271">
        <v>505.3</v>
      </c>
      <c r="AG271">
        <v>92.9</v>
      </c>
      <c r="AH271">
        <v>185.8</v>
      </c>
      <c r="AI271">
        <v>159.75</v>
      </c>
      <c r="AJ271">
        <v>319.5</v>
      </c>
      <c r="AK271">
        <v>63.23</v>
      </c>
      <c r="AL271">
        <v>-90.96</v>
      </c>
      <c r="AM271">
        <v>505.3</v>
      </c>
      <c r="AN271">
        <v>-90.96</v>
      </c>
      <c r="AO271">
        <v>114.27</v>
      </c>
      <c r="AP271">
        <v>228.54</v>
      </c>
      <c r="AQ271">
        <v>55.157600000000002</v>
      </c>
    </row>
    <row r="272" spans="1:43" x14ac:dyDescent="0.25">
      <c r="A272">
        <v>271</v>
      </c>
      <c r="B272" t="s">
        <v>71</v>
      </c>
      <c r="C272" t="s">
        <v>72</v>
      </c>
      <c r="D272" t="s">
        <v>73</v>
      </c>
      <c r="E272" t="s">
        <v>74</v>
      </c>
      <c r="F272">
        <v>240431957</v>
      </c>
      <c r="G272">
        <v>6586980</v>
      </c>
      <c r="H272" t="s">
        <v>102</v>
      </c>
      <c r="I272" t="s">
        <v>76</v>
      </c>
      <c r="J272" t="s">
        <v>102</v>
      </c>
      <c r="K272" t="s">
        <v>526</v>
      </c>
      <c r="L272" t="s">
        <v>285</v>
      </c>
      <c r="M272" t="s">
        <v>285</v>
      </c>
      <c r="N272" t="s">
        <v>286</v>
      </c>
      <c r="O272" t="s">
        <v>10</v>
      </c>
      <c r="P272" t="s">
        <v>77</v>
      </c>
      <c r="Q272" t="s">
        <v>78</v>
      </c>
      <c r="R272" t="s">
        <v>143</v>
      </c>
      <c r="S272" t="s">
        <v>79</v>
      </c>
      <c r="T272">
        <v>43201</v>
      </c>
      <c r="U272" t="s">
        <v>129</v>
      </c>
      <c r="V272">
        <v>51201</v>
      </c>
      <c r="W272" t="s">
        <v>81</v>
      </c>
      <c r="X272">
        <v>240431957</v>
      </c>
      <c r="Y272" t="s">
        <v>74</v>
      </c>
      <c r="Z272">
        <v>0</v>
      </c>
      <c r="AA272" t="s">
        <v>152</v>
      </c>
      <c r="AB272">
        <v>51.68</v>
      </c>
      <c r="AC272">
        <v>-51.68</v>
      </c>
      <c r="AD272">
        <v>1.76</v>
      </c>
      <c r="AE272">
        <v>90.96</v>
      </c>
      <c r="AF272">
        <v>-90.96</v>
      </c>
      <c r="AG272">
        <v>0</v>
      </c>
      <c r="AH272">
        <v>0</v>
      </c>
      <c r="AI272">
        <v>90.96</v>
      </c>
      <c r="AJ272">
        <v>-90.96</v>
      </c>
      <c r="AK272">
        <v>0</v>
      </c>
      <c r="AL272">
        <v>-90.96</v>
      </c>
      <c r="AM272">
        <v>505.3</v>
      </c>
      <c r="AN272">
        <v>0</v>
      </c>
      <c r="AO272">
        <v>0</v>
      </c>
      <c r="AP272">
        <v>0</v>
      </c>
      <c r="AQ272">
        <v>0</v>
      </c>
    </row>
    <row r="273" spans="1:43" x14ac:dyDescent="0.25">
      <c r="A273">
        <v>272</v>
      </c>
      <c r="B273" t="s">
        <v>71</v>
      </c>
      <c r="C273" t="s">
        <v>72</v>
      </c>
      <c r="D273" t="s">
        <v>73</v>
      </c>
      <c r="E273" t="s">
        <v>74</v>
      </c>
      <c r="F273">
        <v>240432028</v>
      </c>
      <c r="G273">
        <v>6587051</v>
      </c>
      <c r="H273" t="s">
        <v>102</v>
      </c>
      <c r="I273" t="s">
        <v>76</v>
      </c>
      <c r="J273" t="s">
        <v>102</v>
      </c>
      <c r="K273" t="s">
        <v>527</v>
      </c>
      <c r="L273" t="s">
        <v>285</v>
      </c>
      <c r="M273" t="s">
        <v>285</v>
      </c>
      <c r="N273" t="s">
        <v>286</v>
      </c>
      <c r="O273" t="s">
        <v>130</v>
      </c>
      <c r="P273" t="s">
        <v>77</v>
      </c>
      <c r="Q273" t="s">
        <v>272</v>
      </c>
      <c r="R273" t="s">
        <v>273</v>
      </c>
      <c r="S273" t="s">
        <v>84</v>
      </c>
      <c r="T273">
        <v>41201</v>
      </c>
      <c r="U273" t="s">
        <v>85</v>
      </c>
      <c r="V273">
        <v>51201</v>
      </c>
      <c r="W273" t="s">
        <v>81</v>
      </c>
      <c r="X273">
        <v>240432028</v>
      </c>
      <c r="Y273" t="s">
        <v>74</v>
      </c>
      <c r="Z273">
        <v>2</v>
      </c>
      <c r="AA273" t="s">
        <v>147</v>
      </c>
      <c r="AB273">
        <v>207</v>
      </c>
      <c r="AC273">
        <v>414</v>
      </c>
      <c r="AD273">
        <v>5.83</v>
      </c>
      <c r="AE273">
        <v>1206.81</v>
      </c>
      <c r="AF273">
        <v>2413.62</v>
      </c>
      <c r="AG273">
        <v>411.7</v>
      </c>
      <c r="AH273">
        <v>823.4</v>
      </c>
      <c r="AI273">
        <v>795.11</v>
      </c>
      <c r="AJ273">
        <v>1590.22</v>
      </c>
      <c r="AK273">
        <v>65.89</v>
      </c>
      <c r="AL273">
        <v>-651.67999999999995</v>
      </c>
      <c r="AM273">
        <v>2413.62</v>
      </c>
      <c r="AN273">
        <v>-651.67999999999995</v>
      </c>
      <c r="AO273">
        <v>469.27</v>
      </c>
      <c r="AP273">
        <v>938.54</v>
      </c>
      <c r="AQ273">
        <v>53.267420999999999</v>
      </c>
    </row>
    <row r="274" spans="1:43" x14ac:dyDescent="0.25">
      <c r="A274">
        <v>273</v>
      </c>
      <c r="B274" t="s">
        <v>71</v>
      </c>
      <c r="C274" t="s">
        <v>72</v>
      </c>
      <c r="D274" t="s">
        <v>73</v>
      </c>
      <c r="E274" t="s">
        <v>74</v>
      </c>
      <c r="F274">
        <v>240432028</v>
      </c>
      <c r="G274">
        <v>6587051</v>
      </c>
      <c r="H274" t="s">
        <v>102</v>
      </c>
      <c r="I274" t="s">
        <v>76</v>
      </c>
      <c r="J274" t="s">
        <v>102</v>
      </c>
      <c r="K274" t="s">
        <v>527</v>
      </c>
      <c r="L274" t="s">
        <v>285</v>
      </c>
      <c r="M274" t="s">
        <v>285</v>
      </c>
      <c r="N274" t="s">
        <v>286</v>
      </c>
      <c r="O274" t="s">
        <v>130</v>
      </c>
      <c r="P274" t="s">
        <v>77</v>
      </c>
      <c r="Q274" t="s">
        <v>78</v>
      </c>
      <c r="R274" t="s">
        <v>143</v>
      </c>
      <c r="S274" t="s">
        <v>79</v>
      </c>
      <c r="T274">
        <v>43201</v>
      </c>
      <c r="U274" t="s">
        <v>129</v>
      </c>
      <c r="V274">
        <v>51201</v>
      </c>
      <c r="W274" t="s">
        <v>81</v>
      </c>
      <c r="X274">
        <v>240432028</v>
      </c>
      <c r="Y274" t="s">
        <v>74</v>
      </c>
      <c r="Z274">
        <v>0</v>
      </c>
      <c r="AA274" t="s">
        <v>147</v>
      </c>
      <c r="AB274">
        <v>111.78</v>
      </c>
      <c r="AC274">
        <v>-111.78</v>
      </c>
      <c r="AD274">
        <v>5.83</v>
      </c>
      <c r="AE274">
        <v>651.67999999999995</v>
      </c>
      <c r="AF274">
        <v>-651.67999999999995</v>
      </c>
      <c r="AG274">
        <v>0</v>
      </c>
      <c r="AH274">
        <v>0</v>
      </c>
      <c r="AI274">
        <v>651.67999999999995</v>
      </c>
      <c r="AJ274">
        <v>-651.67999999999995</v>
      </c>
      <c r="AK274">
        <v>0</v>
      </c>
      <c r="AL274">
        <v>-651.67999999999995</v>
      </c>
      <c r="AM274">
        <v>2413.62</v>
      </c>
      <c r="AN274">
        <v>0</v>
      </c>
      <c r="AO274">
        <v>0</v>
      </c>
      <c r="AP274">
        <v>0</v>
      </c>
      <c r="AQ274">
        <v>0</v>
      </c>
    </row>
    <row r="275" spans="1:43" x14ac:dyDescent="0.25">
      <c r="A275">
        <v>274</v>
      </c>
      <c r="B275" t="s">
        <v>71</v>
      </c>
      <c r="C275" t="s">
        <v>72</v>
      </c>
      <c r="D275" t="s">
        <v>73</v>
      </c>
      <c r="E275" t="s">
        <v>74</v>
      </c>
      <c r="F275">
        <v>240432076</v>
      </c>
      <c r="G275">
        <v>6587099</v>
      </c>
      <c r="H275" t="s">
        <v>102</v>
      </c>
      <c r="I275" t="s">
        <v>76</v>
      </c>
      <c r="J275" t="s">
        <v>102</v>
      </c>
      <c r="K275" t="s">
        <v>528</v>
      </c>
      <c r="L275" t="s">
        <v>285</v>
      </c>
      <c r="M275" t="s">
        <v>285</v>
      </c>
      <c r="N275" t="s">
        <v>286</v>
      </c>
      <c r="O275" t="s">
        <v>10</v>
      </c>
      <c r="P275" t="s">
        <v>77</v>
      </c>
      <c r="Q275" t="s">
        <v>187</v>
      </c>
      <c r="R275" t="s">
        <v>188</v>
      </c>
      <c r="S275" t="s">
        <v>105</v>
      </c>
      <c r="T275">
        <v>41201</v>
      </c>
      <c r="U275" t="s">
        <v>85</v>
      </c>
      <c r="V275">
        <v>51201</v>
      </c>
      <c r="W275" t="s">
        <v>81</v>
      </c>
      <c r="X275">
        <v>240432076</v>
      </c>
      <c r="Y275" t="s">
        <v>74</v>
      </c>
      <c r="Z275">
        <v>1</v>
      </c>
      <c r="AA275" t="s">
        <v>152</v>
      </c>
      <c r="AB275">
        <v>203</v>
      </c>
      <c r="AC275">
        <v>203</v>
      </c>
      <c r="AD275">
        <v>1.76</v>
      </c>
      <c r="AE275">
        <v>357.28</v>
      </c>
      <c r="AF275">
        <v>357.28</v>
      </c>
      <c r="AG275">
        <v>145.22999999999999</v>
      </c>
      <c r="AH275">
        <v>145.22999999999999</v>
      </c>
      <c r="AI275">
        <v>212.05</v>
      </c>
      <c r="AJ275">
        <v>212.05</v>
      </c>
      <c r="AK275">
        <v>59.35</v>
      </c>
      <c r="AL275">
        <v>-64.31</v>
      </c>
      <c r="AM275">
        <v>357.28</v>
      </c>
      <c r="AN275">
        <v>-64.31</v>
      </c>
      <c r="AO275">
        <v>147.74</v>
      </c>
      <c r="AP275">
        <v>147.74</v>
      </c>
      <c r="AQ275">
        <v>50.428370999999999</v>
      </c>
    </row>
    <row r="276" spans="1:43" x14ac:dyDescent="0.25">
      <c r="A276">
        <v>275</v>
      </c>
      <c r="B276" t="s">
        <v>71</v>
      </c>
      <c r="C276" t="s">
        <v>72</v>
      </c>
      <c r="D276" t="s">
        <v>73</v>
      </c>
      <c r="E276" t="s">
        <v>74</v>
      </c>
      <c r="F276">
        <v>240432076</v>
      </c>
      <c r="G276">
        <v>6587099</v>
      </c>
      <c r="H276" t="s">
        <v>102</v>
      </c>
      <c r="I276" t="s">
        <v>76</v>
      </c>
      <c r="J276" t="s">
        <v>102</v>
      </c>
      <c r="K276" t="s">
        <v>528</v>
      </c>
      <c r="L276" t="s">
        <v>285</v>
      </c>
      <c r="M276" t="s">
        <v>285</v>
      </c>
      <c r="N276" t="s">
        <v>286</v>
      </c>
      <c r="O276" t="s">
        <v>10</v>
      </c>
      <c r="P276" t="s">
        <v>77</v>
      </c>
      <c r="Q276" t="s">
        <v>78</v>
      </c>
      <c r="R276" t="s">
        <v>143</v>
      </c>
      <c r="S276" t="s">
        <v>79</v>
      </c>
      <c r="T276">
        <v>43201</v>
      </c>
      <c r="U276" t="s">
        <v>129</v>
      </c>
      <c r="V276">
        <v>51201</v>
      </c>
      <c r="W276" t="s">
        <v>81</v>
      </c>
      <c r="X276">
        <v>240432076</v>
      </c>
      <c r="Y276" t="s">
        <v>74</v>
      </c>
      <c r="Z276">
        <v>0</v>
      </c>
      <c r="AA276" t="s">
        <v>152</v>
      </c>
      <c r="AB276">
        <v>36.54</v>
      </c>
      <c r="AC276">
        <v>-36.54</v>
      </c>
      <c r="AD276">
        <v>1.76</v>
      </c>
      <c r="AE276">
        <v>64.31</v>
      </c>
      <c r="AF276">
        <v>-64.31</v>
      </c>
      <c r="AG276">
        <v>0</v>
      </c>
      <c r="AH276">
        <v>0</v>
      </c>
      <c r="AI276">
        <v>64.31</v>
      </c>
      <c r="AJ276">
        <v>-64.31</v>
      </c>
      <c r="AK276">
        <v>0</v>
      </c>
      <c r="AL276">
        <v>-64.31</v>
      </c>
      <c r="AM276">
        <v>357.28</v>
      </c>
      <c r="AN276">
        <v>0</v>
      </c>
      <c r="AO276">
        <v>0</v>
      </c>
      <c r="AP276">
        <v>0</v>
      </c>
      <c r="AQ276">
        <v>0</v>
      </c>
    </row>
    <row r="277" spans="1:43" x14ac:dyDescent="0.25">
      <c r="A277">
        <v>276</v>
      </c>
      <c r="B277" t="s">
        <v>71</v>
      </c>
      <c r="C277" t="s">
        <v>72</v>
      </c>
      <c r="D277" t="s">
        <v>73</v>
      </c>
      <c r="E277" t="s">
        <v>74</v>
      </c>
      <c r="F277">
        <v>240432274</v>
      </c>
      <c r="G277">
        <v>6587308</v>
      </c>
      <c r="H277" t="s">
        <v>228</v>
      </c>
      <c r="I277" t="s">
        <v>76</v>
      </c>
      <c r="J277" t="s">
        <v>228</v>
      </c>
      <c r="K277" t="s">
        <v>529</v>
      </c>
      <c r="L277" t="s">
        <v>285</v>
      </c>
      <c r="M277" t="s">
        <v>285</v>
      </c>
      <c r="N277" t="s">
        <v>286</v>
      </c>
      <c r="O277" t="s">
        <v>130</v>
      </c>
      <c r="P277" t="s">
        <v>77</v>
      </c>
      <c r="Q277" t="s">
        <v>235</v>
      </c>
      <c r="R277" t="s">
        <v>236</v>
      </c>
      <c r="S277" t="s">
        <v>84</v>
      </c>
      <c r="T277">
        <v>41201</v>
      </c>
      <c r="U277" t="s">
        <v>85</v>
      </c>
      <c r="V277">
        <v>51201</v>
      </c>
      <c r="W277" t="s">
        <v>81</v>
      </c>
      <c r="X277">
        <v>240432274</v>
      </c>
      <c r="Y277" t="s">
        <v>74</v>
      </c>
      <c r="Z277">
        <v>1</v>
      </c>
      <c r="AA277" t="s">
        <v>147</v>
      </c>
      <c r="AB277">
        <v>38</v>
      </c>
      <c r="AC277">
        <v>38</v>
      </c>
      <c r="AD277">
        <v>5.83</v>
      </c>
      <c r="AE277">
        <v>221.54</v>
      </c>
      <c r="AF277">
        <v>221.54</v>
      </c>
      <c r="AG277">
        <v>61</v>
      </c>
      <c r="AH277">
        <v>61</v>
      </c>
      <c r="AI277">
        <v>160.54</v>
      </c>
      <c r="AJ277">
        <v>160.54</v>
      </c>
      <c r="AK277">
        <v>72.47</v>
      </c>
      <c r="AL277">
        <v>-33.229999999999997</v>
      </c>
      <c r="AM277">
        <v>221.54</v>
      </c>
      <c r="AN277">
        <v>-33.229999999999997</v>
      </c>
      <c r="AO277">
        <v>127.31</v>
      </c>
      <c r="AP277">
        <v>127.31</v>
      </c>
      <c r="AQ277">
        <v>67.606605999999999</v>
      </c>
    </row>
    <row r="278" spans="1:43" x14ac:dyDescent="0.25">
      <c r="A278">
        <v>277</v>
      </c>
      <c r="B278" t="s">
        <v>71</v>
      </c>
      <c r="C278" t="s">
        <v>72</v>
      </c>
      <c r="D278" t="s">
        <v>73</v>
      </c>
      <c r="E278" t="s">
        <v>74</v>
      </c>
      <c r="F278">
        <v>240432274</v>
      </c>
      <c r="G278">
        <v>6587308</v>
      </c>
      <c r="H278" t="s">
        <v>228</v>
      </c>
      <c r="I278" t="s">
        <v>76</v>
      </c>
      <c r="J278" t="s">
        <v>228</v>
      </c>
      <c r="K278" t="s">
        <v>529</v>
      </c>
      <c r="L278" t="s">
        <v>285</v>
      </c>
      <c r="M278" t="s">
        <v>285</v>
      </c>
      <c r="N278" t="s">
        <v>286</v>
      </c>
      <c r="O278" t="s">
        <v>130</v>
      </c>
      <c r="P278" t="s">
        <v>77</v>
      </c>
      <c r="Q278" t="s">
        <v>78</v>
      </c>
      <c r="R278" t="s">
        <v>143</v>
      </c>
      <c r="S278" t="s">
        <v>79</v>
      </c>
      <c r="T278">
        <v>43201</v>
      </c>
      <c r="U278" t="s">
        <v>129</v>
      </c>
      <c r="V278">
        <v>51201</v>
      </c>
      <c r="W278" t="s">
        <v>81</v>
      </c>
      <c r="X278">
        <v>240432274</v>
      </c>
      <c r="Y278" t="s">
        <v>74</v>
      </c>
      <c r="Z278">
        <v>0</v>
      </c>
      <c r="AA278" t="s">
        <v>147</v>
      </c>
      <c r="AB278">
        <v>5.7</v>
      </c>
      <c r="AC278">
        <v>-5.7</v>
      </c>
      <c r="AD278">
        <v>5.83</v>
      </c>
      <c r="AE278">
        <v>33.229999999999997</v>
      </c>
      <c r="AF278">
        <v>-33.229999999999997</v>
      </c>
      <c r="AG278">
        <v>0</v>
      </c>
      <c r="AH278">
        <v>0</v>
      </c>
      <c r="AI278">
        <v>33.229999999999997</v>
      </c>
      <c r="AJ278">
        <v>-33.229999999999997</v>
      </c>
      <c r="AK278">
        <v>0</v>
      </c>
      <c r="AL278">
        <v>-33.229999999999997</v>
      </c>
      <c r="AM278">
        <v>221.54</v>
      </c>
      <c r="AN278">
        <v>0</v>
      </c>
      <c r="AO278">
        <v>0</v>
      </c>
      <c r="AP278">
        <v>0</v>
      </c>
      <c r="AQ278">
        <v>0</v>
      </c>
    </row>
    <row r="279" spans="1:43" x14ac:dyDescent="0.25">
      <c r="A279">
        <v>278</v>
      </c>
      <c r="B279" t="s">
        <v>71</v>
      </c>
      <c r="C279" t="s">
        <v>72</v>
      </c>
      <c r="D279" t="s">
        <v>73</v>
      </c>
      <c r="E279" t="s">
        <v>74</v>
      </c>
      <c r="F279">
        <v>240432435</v>
      </c>
      <c r="G279">
        <v>6587469</v>
      </c>
      <c r="H279" t="s">
        <v>228</v>
      </c>
      <c r="I279" t="s">
        <v>76</v>
      </c>
      <c r="J279" t="s">
        <v>228</v>
      </c>
      <c r="K279" t="s">
        <v>530</v>
      </c>
      <c r="L279" t="s">
        <v>285</v>
      </c>
      <c r="M279" t="s">
        <v>285</v>
      </c>
      <c r="N279" t="s">
        <v>286</v>
      </c>
      <c r="O279" t="s">
        <v>132</v>
      </c>
      <c r="P279" t="s">
        <v>77</v>
      </c>
      <c r="Q279" t="s">
        <v>82</v>
      </c>
      <c r="R279" t="s">
        <v>112</v>
      </c>
      <c r="S279" t="s">
        <v>84</v>
      </c>
      <c r="T279">
        <v>41201</v>
      </c>
      <c r="U279" t="s">
        <v>85</v>
      </c>
      <c r="V279">
        <v>51201</v>
      </c>
      <c r="W279" t="s">
        <v>81</v>
      </c>
      <c r="X279">
        <v>240432435</v>
      </c>
      <c r="Y279" t="s">
        <v>74</v>
      </c>
      <c r="Z279">
        <v>2</v>
      </c>
      <c r="AA279" t="s">
        <v>123</v>
      </c>
      <c r="AB279">
        <v>72.5</v>
      </c>
      <c r="AC279">
        <v>0</v>
      </c>
      <c r="AD279">
        <v>0</v>
      </c>
      <c r="AE279">
        <v>72.5</v>
      </c>
      <c r="AF279">
        <v>145</v>
      </c>
      <c r="AG279">
        <v>18</v>
      </c>
      <c r="AH279">
        <v>36</v>
      </c>
      <c r="AI279">
        <v>54.5</v>
      </c>
      <c r="AJ279">
        <v>109</v>
      </c>
      <c r="AK279">
        <v>75.17</v>
      </c>
      <c r="AL279">
        <v>-32.630000000000003</v>
      </c>
      <c r="AM279">
        <v>145</v>
      </c>
      <c r="AN279">
        <v>-32.630000000000003</v>
      </c>
      <c r="AO279">
        <v>38.185000000000002</v>
      </c>
      <c r="AP279">
        <v>76.37</v>
      </c>
      <c r="AQ279">
        <v>67.962979000000004</v>
      </c>
    </row>
    <row r="280" spans="1:43" x14ac:dyDescent="0.25">
      <c r="A280">
        <v>279</v>
      </c>
      <c r="B280" t="s">
        <v>71</v>
      </c>
      <c r="C280" t="s">
        <v>72</v>
      </c>
      <c r="D280" t="s">
        <v>73</v>
      </c>
      <c r="E280" t="s">
        <v>74</v>
      </c>
      <c r="F280">
        <v>240432435</v>
      </c>
      <c r="G280">
        <v>6587469</v>
      </c>
      <c r="H280" t="s">
        <v>228</v>
      </c>
      <c r="I280" t="s">
        <v>76</v>
      </c>
      <c r="J280" t="s">
        <v>228</v>
      </c>
      <c r="K280" t="s">
        <v>530</v>
      </c>
      <c r="L280" t="s">
        <v>285</v>
      </c>
      <c r="M280" t="s">
        <v>285</v>
      </c>
      <c r="N280" t="s">
        <v>286</v>
      </c>
      <c r="O280" t="s">
        <v>132</v>
      </c>
      <c r="P280" t="s">
        <v>77</v>
      </c>
      <c r="Q280" t="s">
        <v>78</v>
      </c>
      <c r="R280" t="s">
        <v>143</v>
      </c>
      <c r="S280" t="s">
        <v>79</v>
      </c>
      <c r="T280">
        <v>43201</v>
      </c>
      <c r="U280" t="s">
        <v>129</v>
      </c>
      <c r="V280">
        <v>51201</v>
      </c>
      <c r="W280" t="s">
        <v>81</v>
      </c>
      <c r="X280">
        <v>240432435</v>
      </c>
      <c r="Y280" t="s">
        <v>74</v>
      </c>
      <c r="Z280">
        <v>0</v>
      </c>
      <c r="AA280" t="s">
        <v>123</v>
      </c>
      <c r="AB280">
        <v>32.630000000000003</v>
      </c>
      <c r="AC280">
        <v>0</v>
      </c>
      <c r="AD280">
        <v>0</v>
      </c>
      <c r="AE280">
        <v>32.630000000000003</v>
      </c>
      <c r="AF280">
        <v>-32.630000000000003</v>
      </c>
      <c r="AG280">
        <v>0</v>
      </c>
      <c r="AH280">
        <v>0</v>
      </c>
      <c r="AI280">
        <v>32.630000000000003</v>
      </c>
      <c r="AJ280">
        <v>-32.630000000000003</v>
      </c>
      <c r="AK280">
        <v>0</v>
      </c>
      <c r="AL280">
        <v>-32.630000000000003</v>
      </c>
      <c r="AM280">
        <v>145</v>
      </c>
      <c r="AN280">
        <v>0</v>
      </c>
      <c r="AO280">
        <v>0</v>
      </c>
      <c r="AP280">
        <v>0</v>
      </c>
      <c r="AQ280">
        <v>0</v>
      </c>
    </row>
    <row r="281" spans="1:43" x14ac:dyDescent="0.25">
      <c r="A281">
        <v>280</v>
      </c>
      <c r="B281" t="s">
        <v>71</v>
      </c>
      <c r="C281" t="s">
        <v>72</v>
      </c>
      <c r="D281" t="s">
        <v>73</v>
      </c>
      <c r="E281" t="s">
        <v>74</v>
      </c>
      <c r="F281">
        <v>240432510</v>
      </c>
      <c r="G281">
        <v>6587544</v>
      </c>
      <c r="H281" t="s">
        <v>228</v>
      </c>
      <c r="I281" t="s">
        <v>76</v>
      </c>
      <c r="J281" t="s">
        <v>228</v>
      </c>
      <c r="K281" t="s">
        <v>531</v>
      </c>
      <c r="L281" t="s">
        <v>285</v>
      </c>
      <c r="M281" t="s">
        <v>285</v>
      </c>
      <c r="N281" t="s">
        <v>286</v>
      </c>
      <c r="O281" t="s">
        <v>132</v>
      </c>
      <c r="P281" t="s">
        <v>77</v>
      </c>
      <c r="Q281" t="s">
        <v>78</v>
      </c>
      <c r="R281" t="s">
        <v>143</v>
      </c>
      <c r="S281" t="s">
        <v>79</v>
      </c>
      <c r="T281">
        <v>43201</v>
      </c>
      <c r="U281" t="s">
        <v>129</v>
      </c>
      <c r="V281">
        <v>51201</v>
      </c>
      <c r="W281" t="s">
        <v>81</v>
      </c>
      <c r="X281">
        <v>240432510</v>
      </c>
      <c r="Y281" t="s">
        <v>74</v>
      </c>
      <c r="Z281">
        <v>0</v>
      </c>
      <c r="AA281" t="s">
        <v>123</v>
      </c>
      <c r="AB281">
        <v>97.65</v>
      </c>
      <c r="AC281">
        <v>0</v>
      </c>
      <c r="AD281">
        <v>0</v>
      </c>
      <c r="AE281">
        <v>97.65</v>
      </c>
      <c r="AF281">
        <v>-97.65</v>
      </c>
      <c r="AG281">
        <v>0</v>
      </c>
      <c r="AH281">
        <v>0</v>
      </c>
      <c r="AI281">
        <v>97.65</v>
      </c>
      <c r="AJ281">
        <v>-97.65</v>
      </c>
      <c r="AK281">
        <v>0</v>
      </c>
      <c r="AL281">
        <v>-97.65</v>
      </c>
      <c r="AM281">
        <v>651</v>
      </c>
      <c r="AN281">
        <v>0</v>
      </c>
      <c r="AO281">
        <v>0</v>
      </c>
      <c r="AP281">
        <v>0</v>
      </c>
      <c r="AQ281">
        <v>0</v>
      </c>
    </row>
    <row r="282" spans="1:43" x14ac:dyDescent="0.25">
      <c r="A282">
        <v>281</v>
      </c>
      <c r="B282" t="s">
        <v>71</v>
      </c>
      <c r="C282" t="s">
        <v>72</v>
      </c>
      <c r="D282" t="s">
        <v>73</v>
      </c>
      <c r="E282" t="s">
        <v>74</v>
      </c>
      <c r="F282">
        <v>240432510</v>
      </c>
      <c r="G282">
        <v>6587544</v>
      </c>
      <c r="H282" t="s">
        <v>228</v>
      </c>
      <c r="I282" t="s">
        <v>76</v>
      </c>
      <c r="J282" t="s">
        <v>228</v>
      </c>
      <c r="K282" t="s">
        <v>531</v>
      </c>
      <c r="L282" t="s">
        <v>285</v>
      </c>
      <c r="M282" t="s">
        <v>285</v>
      </c>
      <c r="N282" t="s">
        <v>286</v>
      </c>
      <c r="O282" t="s">
        <v>132</v>
      </c>
      <c r="P282" t="s">
        <v>77</v>
      </c>
      <c r="Q282" t="s">
        <v>264</v>
      </c>
      <c r="R282" t="s">
        <v>265</v>
      </c>
      <c r="S282" t="s">
        <v>105</v>
      </c>
      <c r="T282">
        <v>41201</v>
      </c>
      <c r="U282" t="s">
        <v>85</v>
      </c>
      <c r="V282">
        <v>51201</v>
      </c>
      <c r="W282" t="s">
        <v>81</v>
      </c>
      <c r="X282">
        <v>240432510</v>
      </c>
      <c r="Y282" t="s">
        <v>74</v>
      </c>
      <c r="Z282">
        <v>2</v>
      </c>
      <c r="AA282" t="s">
        <v>123</v>
      </c>
      <c r="AB282">
        <v>325.5</v>
      </c>
      <c r="AC282">
        <v>0</v>
      </c>
      <c r="AD282">
        <v>0</v>
      </c>
      <c r="AE282">
        <v>325.5</v>
      </c>
      <c r="AF282">
        <v>651</v>
      </c>
      <c r="AG282">
        <v>155.99</v>
      </c>
      <c r="AH282">
        <v>311.98</v>
      </c>
      <c r="AI282">
        <v>169.51</v>
      </c>
      <c r="AJ282">
        <v>339.02</v>
      </c>
      <c r="AK282">
        <v>52.08</v>
      </c>
      <c r="AL282">
        <v>-97.65</v>
      </c>
      <c r="AM282">
        <v>651</v>
      </c>
      <c r="AN282">
        <v>-97.65</v>
      </c>
      <c r="AO282">
        <v>120.685</v>
      </c>
      <c r="AP282">
        <v>241.37</v>
      </c>
      <c r="AQ282">
        <v>43.619770000000003</v>
      </c>
    </row>
    <row r="283" spans="1:43" x14ac:dyDescent="0.25">
      <c r="A283">
        <v>282</v>
      </c>
      <c r="B283" t="s">
        <v>71</v>
      </c>
      <c r="C283" t="s">
        <v>72</v>
      </c>
      <c r="D283" t="s">
        <v>73</v>
      </c>
      <c r="E283" t="s">
        <v>74</v>
      </c>
      <c r="F283">
        <v>240432657</v>
      </c>
      <c r="G283">
        <v>6587691</v>
      </c>
      <c r="H283" t="s">
        <v>228</v>
      </c>
      <c r="I283" t="s">
        <v>76</v>
      </c>
      <c r="J283" t="s">
        <v>228</v>
      </c>
      <c r="K283" t="s">
        <v>532</v>
      </c>
      <c r="L283" t="s">
        <v>285</v>
      </c>
      <c r="M283" t="s">
        <v>285</v>
      </c>
      <c r="N283" t="s">
        <v>286</v>
      </c>
      <c r="O283" t="s">
        <v>10</v>
      </c>
      <c r="P283" t="s">
        <v>77</v>
      </c>
      <c r="Q283" t="s">
        <v>276</v>
      </c>
      <c r="R283" t="s">
        <v>277</v>
      </c>
      <c r="S283" t="s">
        <v>84</v>
      </c>
      <c r="T283">
        <v>41201</v>
      </c>
      <c r="U283" t="s">
        <v>85</v>
      </c>
      <c r="V283">
        <v>51201</v>
      </c>
      <c r="W283" t="s">
        <v>81</v>
      </c>
      <c r="X283">
        <v>240432657</v>
      </c>
      <c r="Y283" t="s">
        <v>74</v>
      </c>
      <c r="Z283">
        <v>1</v>
      </c>
      <c r="AA283" t="s">
        <v>152</v>
      </c>
      <c r="AB283">
        <v>261.20999999999998</v>
      </c>
      <c r="AC283">
        <v>261.20999999999998</v>
      </c>
      <c r="AD283">
        <v>1.76</v>
      </c>
      <c r="AE283">
        <v>459.73</v>
      </c>
      <c r="AF283">
        <v>459.73</v>
      </c>
      <c r="AG283">
        <v>215</v>
      </c>
      <c r="AH283">
        <v>215</v>
      </c>
      <c r="AI283">
        <v>244.73</v>
      </c>
      <c r="AJ283">
        <v>244.73</v>
      </c>
      <c r="AK283">
        <v>53.23</v>
      </c>
      <c r="AL283">
        <v>-124.17</v>
      </c>
      <c r="AM283">
        <v>827.75</v>
      </c>
      <c r="AN283">
        <v>-68.959999999999994</v>
      </c>
      <c r="AO283">
        <v>175.77</v>
      </c>
      <c r="AP283">
        <v>175.77</v>
      </c>
      <c r="AQ283">
        <v>44.980423000000002</v>
      </c>
    </row>
    <row r="284" spans="1:43" x14ac:dyDescent="0.25">
      <c r="A284">
        <v>283</v>
      </c>
      <c r="B284" t="s">
        <v>71</v>
      </c>
      <c r="C284" t="s">
        <v>72</v>
      </c>
      <c r="D284" t="s">
        <v>73</v>
      </c>
      <c r="E284" t="s">
        <v>74</v>
      </c>
      <c r="F284">
        <v>240432657</v>
      </c>
      <c r="G284">
        <v>6587691</v>
      </c>
      <c r="H284" t="s">
        <v>228</v>
      </c>
      <c r="I284" t="s">
        <v>76</v>
      </c>
      <c r="J284" t="s">
        <v>228</v>
      </c>
      <c r="K284" t="s">
        <v>532</v>
      </c>
      <c r="L284" t="s">
        <v>285</v>
      </c>
      <c r="M284" t="s">
        <v>285</v>
      </c>
      <c r="N284" t="s">
        <v>286</v>
      </c>
      <c r="O284" t="s">
        <v>10</v>
      </c>
      <c r="P284" t="s">
        <v>77</v>
      </c>
      <c r="Q284" t="s">
        <v>206</v>
      </c>
      <c r="R284" t="s">
        <v>207</v>
      </c>
      <c r="S284" t="s">
        <v>105</v>
      </c>
      <c r="T284">
        <v>41201</v>
      </c>
      <c r="U284" t="s">
        <v>85</v>
      </c>
      <c r="V284">
        <v>51201</v>
      </c>
      <c r="W284" t="s">
        <v>81</v>
      </c>
      <c r="X284">
        <v>240432657</v>
      </c>
      <c r="Y284" t="s">
        <v>74</v>
      </c>
      <c r="Z284">
        <v>1</v>
      </c>
      <c r="AA284" t="s">
        <v>152</v>
      </c>
      <c r="AB284">
        <v>209.1</v>
      </c>
      <c r="AC284">
        <v>209.1</v>
      </c>
      <c r="AD284">
        <v>1.76</v>
      </c>
      <c r="AE284">
        <v>368.02</v>
      </c>
      <c r="AF284">
        <v>368.02</v>
      </c>
      <c r="AG284">
        <v>178</v>
      </c>
      <c r="AH284">
        <v>178</v>
      </c>
      <c r="AI284">
        <v>190.02</v>
      </c>
      <c r="AJ284">
        <v>190.02</v>
      </c>
      <c r="AK284">
        <v>51.63</v>
      </c>
      <c r="AL284">
        <v>-124.17</v>
      </c>
      <c r="AM284">
        <v>827.75</v>
      </c>
      <c r="AN284">
        <v>-55.21</v>
      </c>
      <c r="AO284">
        <v>134.81</v>
      </c>
      <c r="AP284">
        <v>134.81</v>
      </c>
      <c r="AQ284">
        <v>43.096448000000002</v>
      </c>
    </row>
    <row r="285" spans="1:43" x14ac:dyDescent="0.25">
      <c r="A285">
        <v>284</v>
      </c>
      <c r="B285" t="s">
        <v>71</v>
      </c>
      <c r="C285" t="s">
        <v>72</v>
      </c>
      <c r="D285" t="s">
        <v>73</v>
      </c>
      <c r="E285" t="s">
        <v>74</v>
      </c>
      <c r="F285">
        <v>240432657</v>
      </c>
      <c r="G285">
        <v>6587691</v>
      </c>
      <c r="H285" t="s">
        <v>228</v>
      </c>
      <c r="I285" t="s">
        <v>76</v>
      </c>
      <c r="J285" t="s">
        <v>228</v>
      </c>
      <c r="K285" t="s">
        <v>532</v>
      </c>
      <c r="L285" t="s">
        <v>285</v>
      </c>
      <c r="M285" t="s">
        <v>285</v>
      </c>
      <c r="N285" t="s">
        <v>286</v>
      </c>
      <c r="O285" t="s">
        <v>10</v>
      </c>
      <c r="P285" t="s">
        <v>77</v>
      </c>
      <c r="Q285" t="s">
        <v>78</v>
      </c>
      <c r="R285" t="s">
        <v>143</v>
      </c>
      <c r="S285" t="s">
        <v>79</v>
      </c>
      <c r="T285">
        <v>43201</v>
      </c>
      <c r="U285" t="s">
        <v>129</v>
      </c>
      <c r="V285">
        <v>51201</v>
      </c>
      <c r="W285" t="s">
        <v>81</v>
      </c>
      <c r="X285">
        <v>240432657</v>
      </c>
      <c r="Y285" t="s">
        <v>74</v>
      </c>
      <c r="Z285">
        <v>0</v>
      </c>
      <c r="AA285" t="s">
        <v>152</v>
      </c>
      <c r="AB285">
        <v>70.55</v>
      </c>
      <c r="AC285">
        <v>-70.55</v>
      </c>
      <c r="AD285">
        <v>1.76</v>
      </c>
      <c r="AE285">
        <v>124.17</v>
      </c>
      <c r="AF285">
        <v>-124.17</v>
      </c>
      <c r="AG285">
        <v>0</v>
      </c>
      <c r="AH285">
        <v>0</v>
      </c>
      <c r="AI285">
        <v>124.17</v>
      </c>
      <c r="AJ285">
        <v>-124.17</v>
      </c>
      <c r="AK285">
        <v>0</v>
      </c>
      <c r="AL285">
        <v>-124.17</v>
      </c>
      <c r="AM285">
        <v>827.75</v>
      </c>
      <c r="AN285">
        <v>0</v>
      </c>
      <c r="AO285">
        <v>0</v>
      </c>
      <c r="AP285">
        <v>0</v>
      </c>
      <c r="AQ285">
        <v>0</v>
      </c>
    </row>
    <row r="286" spans="1:43" x14ac:dyDescent="0.25">
      <c r="A286">
        <v>285</v>
      </c>
      <c r="B286" t="s">
        <v>71</v>
      </c>
      <c r="C286" t="s">
        <v>72</v>
      </c>
      <c r="D286" t="s">
        <v>73</v>
      </c>
      <c r="E286" t="s">
        <v>74</v>
      </c>
      <c r="F286">
        <v>240432842</v>
      </c>
      <c r="G286">
        <v>6587876</v>
      </c>
      <c r="H286" t="s">
        <v>228</v>
      </c>
      <c r="I286" t="s">
        <v>76</v>
      </c>
      <c r="J286" t="s">
        <v>228</v>
      </c>
      <c r="K286" t="s">
        <v>533</v>
      </c>
      <c r="L286" t="s">
        <v>285</v>
      </c>
      <c r="M286" t="s">
        <v>285</v>
      </c>
      <c r="N286" t="s">
        <v>286</v>
      </c>
      <c r="O286" t="s">
        <v>10</v>
      </c>
      <c r="P286" t="s">
        <v>77</v>
      </c>
      <c r="Q286" t="s">
        <v>260</v>
      </c>
      <c r="R286" t="s">
        <v>261</v>
      </c>
      <c r="S286" t="s">
        <v>105</v>
      </c>
      <c r="T286">
        <v>41201</v>
      </c>
      <c r="U286" t="s">
        <v>85</v>
      </c>
      <c r="V286">
        <v>51201</v>
      </c>
      <c r="W286" t="s">
        <v>81</v>
      </c>
      <c r="X286">
        <v>240432842</v>
      </c>
      <c r="Y286" t="s">
        <v>74</v>
      </c>
      <c r="Z286">
        <v>1</v>
      </c>
      <c r="AA286" t="s">
        <v>152</v>
      </c>
      <c r="AB286">
        <v>84.2</v>
      </c>
      <c r="AC286">
        <v>84.2</v>
      </c>
      <c r="AD286">
        <v>1.76</v>
      </c>
      <c r="AE286">
        <v>148.19</v>
      </c>
      <c r="AF286">
        <v>148.19</v>
      </c>
      <c r="AG286">
        <v>46.64</v>
      </c>
      <c r="AH286">
        <v>46.64</v>
      </c>
      <c r="AI286">
        <v>101.55</v>
      </c>
      <c r="AJ286">
        <v>101.55</v>
      </c>
      <c r="AK286">
        <v>68.53</v>
      </c>
      <c r="AL286">
        <v>0</v>
      </c>
      <c r="AM286">
        <v>148.19</v>
      </c>
      <c r="AN286">
        <v>0</v>
      </c>
      <c r="AO286">
        <v>101.55</v>
      </c>
      <c r="AP286">
        <v>101.55</v>
      </c>
      <c r="AQ286">
        <v>68.526891000000006</v>
      </c>
    </row>
    <row r="287" spans="1:43" x14ac:dyDescent="0.25">
      <c r="A287">
        <v>286</v>
      </c>
      <c r="B287" t="s">
        <v>71</v>
      </c>
      <c r="C287" t="s">
        <v>72</v>
      </c>
      <c r="D287" t="s">
        <v>73</v>
      </c>
      <c r="E287" t="s">
        <v>74</v>
      </c>
      <c r="F287">
        <v>240432981</v>
      </c>
      <c r="G287">
        <v>6588015</v>
      </c>
      <c r="H287" t="s">
        <v>228</v>
      </c>
      <c r="I287" t="s">
        <v>76</v>
      </c>
      <c r="J287" t="s">
        <v>228</v>
      </c>
      <c r="K287" t="s">
        <v>534</v>
      </c>
      <c r="L287" t="s">
        <v>285</v>
      </c>
      <c r="M287" t="s">
        <v>285</v>
      </c>
      <c r="N287" t="s">
        <v>286</v>
      </c>
      <c r="O287" t="s">
        <v>130</v>
      </c>
      <c r="P287" t="s">
        <v>77</v>
      </c>
      <c r="Q287" t="s">
        <v>78</v>
      </c>
      <c r="R287" t="s">
        <v>143</v>
      </c>
      <c r="S287" t="s">
        <v>79</v>
      </c>
      <c r="T287">
        <v>43201</v>
      </c>
      <c r="U287" t="s">
        <v>129</v>
      </c>
      <c r="V287">
        <v>51201</v>
      </c>
      <c r="W287" t="s">
        <v>81</v>
      </c>
      <c r="X287">
        <v>240432981</v>
      </c>
      <c r="Y287" t="s">
        <v>74</v>
      </c>
      <c r="Z287">
        <v>0</v>
      </c>
      <c r="AA287" t="s">
        <v>147</v>
      </c>
      <c r="AB287">
        <v>7.92</v>
      </c>
      <c r="AC287">
        <v>-7.92</v>
      </c>
      <c r="AD287">
        <v>5.83</v>
      </c>
      <c r="AE287">
        <v>46.17</v>
      </c>
      <c r="AF287">
        <v>-46.17</v>
      </c>
      <c r="AG287">
        <v>0</v>
      </c>
      <c r="AH287">
        <v>0</v>
      </c>
      <c r="AI287">
        <v>46.17</v>
      </c>
      <c r="AJ287">
        <v>-46.17</v>
      </c>
      <c r="AK287">
        <v>0</v>
      </c>
      <c r="AL287">
        <v>-46.17</v>
      </c>
      <c r="AM287">
        <v>256.52</v>
      </c>
      <c r="AN287">
        <v>0</v>
      </c>
      <c r="AO287">
        <v>0</v>
      </c>
      <c r="AP287">
        <v>0</v>
      </c>
      <c r="AQ287">
        <v>0</v>
      </c>
    </row>
    <row r="288" spans="1:43" x14ac:dyDescent="0.25">
      <c r="A288">
        <v>287</v>
      </c>
      <c r="B288" t="s">
        <v>71</v>
      </c>
      <c r="C288" t="s">
        <v>72</v>
      </c>
      <c r="D288" t="s">
        <v>73</v>
      </c>
      <c r="E288" t="s">
        <v>74</v>
      </c>
      <c r="F288">
        <v>240432981</v>
      </c>
      <c r="G288">
        <v>6588015</v>
      </c>
      <c r="H288" t="s">
        <v>228</v>
      </c>
      <c r="I288" t="s">
        <v>76</v>
      </c>
      <c r="J288" t="s">
        <v>228</v>
      </c>
      <c r="K288" t="s">
        <v>534</v>
      </c>
      <c r="L288" t="s">
        <v>285</v>
      </c>
      <c r="M288" t="s">
        <v>285</v>
      </c>
      <c r="N288" t="s">
        <v>286</v>
      </c>
      <c r="O288" t="s">
        <v>130</v>
      </c>
      <c r="P288" t="s">
        <v>77</v>
      </c>
      <c r="Q288" t="s">
        <v>148</v>
      </c>
      <c r="R288" t="s">
        <v>149</v>
      </c>
      <c r="S288" t="s">
        <v>105</v>
      </c>
      <c r="T288">
        <v>41201</v>
      </c>
      <c r="U288" t="s">
        <v>85</v>
      </c>
      <c r="V288">
        <v>51201</v>
      </c>
      <c r="W288" t="s">
        <v>81</v>
      </c>
      <c r="X288">
        <v>240432981</v>
      </c>
      <c r="Y288" t="s">
        <v>74</v>
      </c>
      <c r="Z288">
        <v>1</v>
      </c>
      <c r="AA288" t="s">
        <v>147</v>
      </c>
      <c r="AB288">
        <v>44</v>
      </c>
      <c r="AC288">
        <v>44</v>
      </c>
      <c r="AD288">
        <v>5.83</v>
      </c>
      <c r="AE288">
        <v>256.52</v>
      </c>
      <c r="AF288">
        <v>256.52</v>
      </c>
      <c r="AG288">
        <v>71.23</v>
      </c>
      <c r="AH288">
        <v>71.23</v>
      </c>
      <c r="AI288">
        <v>185.29</v>
      </c>
      <c r="AJ288">
        <v>185.29</v>
      </c>
      <c r="AK288">
        <v>72.23</v>
      </c>
      <c r="AL288">
        <v>-46.17</v>
      </c>
      <c r="AM288">
        <v>256.52</v>
      </c>
      <c r="AN288">
        <v>-46.17</v>
      </c>
      <c r="AO288">
        <v>139.12</v>
      </c>
      <c r="AP288">
        <v>139.12</v>
      </c>
      <c r="AQ288">
        <v>66.137389999999996</v>
      </c>
    </row>
    <row r="289" spans="1:43" x14ac:dyDescent="0.25">
      <c r="A289">
        <v>288</v>
      </c>
      <c r="B289" t="s">
        <v>71</v>
      </c>
      <c r="C289" t="s">
        <v>72</v>
      </c>
      <c r="D289" t="s">
        <v>73</v>
      </c>
      <c r="E289" t="s">
        <v>74</v>
      </c>
      <c r="F289">
        <v>240433443</v>
      </c>
      <c r="G289">
        <v>6588477</v>
      </c>
      <c r="H289" t="s">
        <v>228</v>
      </c>
      <c r="I289" t="s">
        <v>76</v>
      </c>
      <c r="J289" t="s">
        <v>228</v>
      </c>
      <c r="K289" t="s">
        <v>535</v>
      </c>
      <c r="L289" t="s">
        <v>285</v>
      </c>
      <c r="M289" t="s">
        <v>285</v>
      </c>
      <c r="N289" t="s">
        <v>286</v>
      </c>
      <c r="O289" t="s">
        <v>130</v>
      </c>
      <c r="P289" t="s">
        <v>77</v>
      </c>
      <c r="Q289" t="s">
        <v>78</v>
      </c>
      <c r="R289" t="s">
        <v>143</v>
      </c>
      <c r="S289" t="s">
        <v>79</v>
      </c>
      <c r="T289">
        <v>43201</v>
      </c>
      <c r="U289" t="s">
        <v>129</v>
      </c>
      <c r="V289">
        <v>51201</v>
      </c>
      <c r="W289" t="s">
        <v>81</v>
      </c>
      <c r="X289">
        <v>240433443</v>
      </c>
      <c r="Y289" t="s">
        <v>74</v>
      </c>
      <c r="Z289">
        <v>0</v>
      </c>
      <c r="AA289" t="s">
        <v>147</v>
      </c>
      <c r="AB289">
        <v>8.1</v>
      </c>
      <c r="AC289">
        <v>-8.1</v>
      </c>
      <c r="AD289">
        <v>5.83</v>
      </c>
      <c r="AE289">
        <v>47.22</v>
      </c>
      <c r="AF289">
        <v>-47.22</v>
      </c>
      <c r="AG289">
        <v>0</v>
      </c>
      <c r="AH289">
        <v>0</v>
      </c>
      <c r="AI289">
        <v>47.22</v>
      </c>
      <c r="AJ289">
        <v>-47.22</v>
      </c>
      <c r="AK289">
        <v>0</v>
      </c>
      <c r="AL289">
        <v>-47.22</v>
      </c>
      <c r="AM289">
        <v>314.82</v>
      </c>
      <c r="AN289">
        <v>0</v>
      </c>
      <c r="AO289">
        <v>0</v>
      </c>
      <c r="AP289">
        <v>0</v>
      </c>
      <c r="AQ289">
        <v>0</v>
      </c>
    </row>
    <row r="290" spans="1:43" x14ac:dyDescent="0.25">
      <c r="A290">
        <v>289</v>
      </c>
      <c r="B290" t="s">
        <v>71</v>
      </c>
      <c r="C290" t="s">
        <v>72</v>
      </c>
      <c r="D290" t="s">
        <v>73</v>
      </c>
      <c r="E290" t="s">
        <v>74</v>
      </c>
      <c r="F290">
        <v>240433443</v>
      </c>
      <c r="G290">
        <v>6588477</v>
      </c>
      <c r="H290" t="s">
        <v>228</v>
      </c>
      <c r="I290" t="s">
        <v>76</v>
      </c>
      <c r="J290" t="s">
        <v>228</v>
      </c>
      <c r="K290" t="s">
        <v>535</v>
      </c>
      <c r="L290" t="s">
        <v>285</v>
      </c>
      <c r="M290" t="s">
        <v>285</v>
      </c>
      <c r="N290" t="s">
        <v>286</v>
      </c>
      <c r="O290" t="s">
        <v>130</v>
      </c>
      <c r="P290" t="s">
        <v>77</v>
      </c>
      <c r="Q290" t="s">
        <v>231</v>
      </c>
      <c r="R290" t="s">
        <v>232</v>
      </c>
      <c r="S290" t="s">
        <v>105</v>
      </c>
      <c r="T290">
        <v>41201</v>
      </c>
      <c r="U290" t="s">
        <v>85</v>
      </c>
      <c r="V290">
        <v>51201</v>
      </c>
      <c r="W290" t="s">
        <v>81</v>
      </c>
      <c r="X290">
        <v>240433443</v>
      </c>
      <c r="Y290" t="s">
        <v>74</v>
      </c>
      <c r="Z290">
        <v>3</v>
      </c>
      <c r="AA290" t="s">
        <v>147</v>
      </c>
      <c r="AB290">
        <v>18</v>
      </c>
      <c r="AC290">
        <v>54</v>
      </c>
      <c r="AD290">
        <v>5.83</v>
      </c>
      <c r="AE290">
        <v>104.94</v>
      </c>
      <c r="AF290">
        <v>314.82</v>
      </c>
      <c r="AG290">
        <v>34.36</v>
      </c>
      <c r="AH290">
        <v>103.09</v>
      </c>
      <c r="AI290">
        <v>70.58</v>
      </c>
      <c r="AJ290">
        <v>211.73</v>
      </c>
      <c r="AK290">
        <v>67.25</v>
      </c>
      <c r="AL290">
        <v>-47.22</v>
      </c>
      <c r="AM290">
        <v>314.82</v>
      </c>
      <c r="AN290">
        <v>-47.22</v>
      </c>
      <c r="AO290">
        <v>54.836666000000001</v>
      </c>
      <c r="AP290">
        <v>164.51</v>
      </c>
      <c r="AQ290">
        <v>61.476083000000003</v>
      </c>
    </row>
    <row r="291" spans="1:43" x14ac:dyDescent="0.25">
      <c r="A291">
        <v>290</v>
      </c>
      <c r="B291" t="s">
        <v>71</v>
      </c>
      <c r="C291" t="s">
        <v>72</v>
      </c>
      <c r="D291" t="s">
        <v>73</v>
      </c>
      <c r="E291" t="s">
        <v>74</v>
      </c>
      <c r="F291">
        <v>240433573</v>
      </c>
      <c r="G291">
        <v>6588607</v>
      </c>
      <c r="H291" t="s">
        <v>228</v>
      </c>
      <c r="I291" t="s">
        <v>76</v>
      </c>
      <c r="J291" t="s">
        <v>228</v>
      </c>
      <c r="K291" t="s">
        <v>536</v>
      </c>
      <c r="L291" t="s">
        <v>285</v>
      </c>
      <c r="M291" t="s">
        <v>285</v>
      </c>
      <c r="N291" t="s">
        <v>286</v>
      </c>
      <c r="O291" t="s">
        <v>10</v>
      </c>
      <c r="P291" t="s">
        <v>77</v>
      </c>
      <c r="Q291" t="s">
        <v>89</v>
      </c>
      <c r="R291" t="s">
        <v>377</v>
      </c>
      <c r="S291" t="s">
        <v>84</v>
      </c>
      <c r="T291">
        <v>41201</v>
      </c>
      <c r="U291" t="s">
        <v>85</v>
      </c>
      <c r="V291">
        <v>51201</v>
      </c>
      <c r="W291" t="s">
        <v>81</v>
      </c>
      <c r="X291">
        <v>240433573</v>
      </c>
      <c r="Y291" t="s">
        <v>74</v>
      </c>
      <c r="Z291">
        <v>3</v>
      </c>
      <c r="AA291" t="s">
        <v>152</v>
      </c>
      <c r="AB291">
        <v>94.03</v>
      </c>
      <c r="AC291">
        <v>282.08999999999997</v>
      </c>
      <c r="AD291">
        <v>1.76</v>
      </c>
      <c r="AE291">
        <v>165.49333300000001</v>
      </c>
      <c r="AF291">
        <v>496.48</v>
      </c>
      <c r="AG291">
        <v>80</v>
      </c>
      <c r="AH291">
        <v>240</v>
      </c>
      <c r="AI291">
        <v>85.49</v>
      </c>
      <c r="AJ291">
        <v>256.48</v>
      </c>
      <c r="AK291">
        <v>51.66</v>
      </c>
      <c r="AL291">
        <v>0</v>
      </c>
      <c r="AM291">
        <v>496.48</v>
      </c>
      <c r="AN291">
        <v>0</v>
      </c>
      <c r="AO291">
        <v>85.493333000000007</v>
      </c>
      <c r="AP291">
        <v>256.48</v>
      </c>
      <c r="AQ291">
        <v>51.659683999999999</v>
      </c>
    </row>
    <row r="292" spans="1:43" x14ac:dyDescent="0.25">
      <c r="A292">
        <v>291</v>
      </c>
      <c r="B292" t="s">
        <v>71</v>
      </c>
      <c r="C292" t="s">
        <v>72</v>
      </c>
      <c r="D292" t="s">
        <v>73</v>
      </c>
      <c r="E292" t="s">
        <v>74</v>
      </c>
      <c r="F292">
        <v>240434096</v>
      </c>
      <c r="G292">
        <v>6589151</v>
      </c>
      <c r="H292" t="s">
        <v>106</v>
      </c>
      <c r="I292" t="s">
        <v>76</v>
      </c>
      <c r="J292" t="s">
        <v>106</v>
      </c>
      <c r="K292" t="s">
        <v>537</v>
      </c>
      <c r="L292" t="s">
        <v>285</v>
      </c>
      <c r="M292" t="s">
        <v>285</v>
      </c>
      <c r="N292" t="s">
        <v>286</v>
      </c>
      <c r="O292" t="s">
        <v>10</v>
      </c>
      <c r="P292" t="s">
        <v>77</v>
      </c>
      <c r="Q292" t="s">
        <v>229</v>
      </c>
      <c r="R292" t="s">
        <v>230</v>
      </c>
      <c r="S292" t="s">
        <v>84</v>
      </c>
      <c r="T292">
        <v>41201</v>
      </c>
      <c r="U292" t="s">
        <v>85</v>
      </c>
      <c r="V292">
        <v>51201</v>
      </c>
      <c r="W292" t="s">
        <v>81</v>
      </c>
      <c r="X292">
        <v>240434096</v>
      </c>
      <c r="Y292" t="s">
        <v>74</v>
      </c>
      <c r="Z292">
        <v>1</v>
      </c>
      <c r="AA292" t="s">
        <v>152</v>
      </c>
      <c r="AB292">
        <v>115.8</v>
      </c>
      <c r="AC292">
        <v>115.8</v>
      </c>
      <c r="AD292">
        <v>1.76</v>
      </c>
      <c r="AE292">
        <v>203.81</v>
      </c>
      <c r="AF292">
        <v>203.81</v>
      </c>
      <c r="AG292">
        <v>82.8</v>
      </c>
      <c r="AH292">
        <v>82.8</v>
      </c>
      <c r="AI292">
        <v>121.01</v>
      </c>
      <c r="AJ292">
        <v>121.01</v>
      </c>
      <c r="AK292">
        <v>59.37</v>
      </c>
      <c r="AL292">
        <v>0</v>
      </c>
      <c r="AM292">
        <v>203.81</v>
      </c>
      <c r="AN292">
        <v>0</v>
      </c>
      <c r="AO292">
        <v>121.01</v>
      </c>
      <c r="AP292">
        <v>121.01</v>
      </c>
      <c r="AQ292">
        <v>59.373925999999997</v>
      </c>
    </row>
    <row r="293" spans="1:43" x14ac:dyDescent="0.25">
      <c r="A293">
        <v>292</v>
      </c>
      <c r="B293" t="s">
        <v>71</v>
      </c>
      <c r="C293" t="s">
        <v>72</v>
      </c>
      <c r="D293" t="s">
        <v>73</v>
      </c>
      <c r="E293" t="s">
        <v>74</v>
      </c>
      <c r="F293">
        <v>240434163</v>
      </c>
      <c r="G293">
        <v>6589218</v>
      </c>
      <c r="H293" t="s">
        <v>106</v>
      </c>
      <c r="I293" t="s">
        <v>76</v>
      </c>
      <c r="J293" t="s">
        <v>106</v>
      </c>
      <c r="K293" t="s">
        <v>538</v>
      </c>
      <c r="L293" t="s">
        <v>285</v>
      </c>
      <c r="M293" t="s">
        <v>285</v>
      </c>
      <c r="N293" t="s">
        <v>286</v>
      </c>
      <c r="O293" t="s">
        <v>130</v>
      </c>
      <c r="P293" t="s">
        <v>77</v>
      </c>
      <c r="Q293" t="s">
        <v>78</v>
      </c>
      <c r="R293" t="s">
        <v>143</v>
      </c>
      <c r="S293" t="s">
        <v>79</v>
      </c>
      <c r="T293">
        <v>43201</v>
      </c>
      <c r="U293" t="s">
        <v>129</v>
      </c>
      <c r="V293">
        <v>51201</v>
      </c>
      <c r="W293" t="s">
        <v>81</v>
      </c>
      <c r="X293">
        <v>240434163</v>
      </c>
      <c r="Y293" t="s">
        <v>74</v>
      </c>
      <c r="Z293">
        <v>0</v>
      </c>
      <c r="AA293" t="s">
        <v>147</v>
      </c>
      <c r="AB293">
        <v>10.050000000000001</v>
      </c>
      <c r="AC293">
        <v>-10.050000000000001</v>
      </c>
      <c r="AD293">
        <v>5.83</v>
      </c>
      <c r="AE293">
        <v>58.59</v>
      </c>
      <c r="AF293">
        <v>-58.59</v>
      </c>
      <c r="AG293">
        <v>0</v>
      </c>
      <c r="AH293">
        <v>0</v>
      </c>
      <c r="AI293">
        <v>58.59</v>
      </c>
      <c r="AJ293">
        <v>-58.59</v>
      </c>
      <c r="AK293">
        <v>0</v>
      </c>
      <c r="AL293">
        <v>-58.59</v>
      </c>
      <c r="AM293">
        <v>390.67</v>
      </c>
      <c r="AN293">
        <v>0</v>
      </c>
      <c r="AO293">
        <v>0</v>
      </c>
      <c r="AP293">
        <v>0</v>
      </c>
      <c r="AQ293">
        <v>0</v>
      </c>
    </row>
    <row r="294" spans="1:43" x14ac:dyDescent="0.25">
      <c r="A294">
        <v>293</v>
      </c>
      <c r="B294" t="s">
        <v>71</v>
      </c>
      <c r="C294" t="s">
        <v>72</v>
      </c>
      <c r="D294" t="s">
        <v>73</v>
      </c>
      <c r="E294" t="s">
        <v>74</v>
      </c>
      <c r="F294">
        <v>240434163</v>
      </c>
      <c r="G294">
        <v>6589218</v>
      </c>
      <c r="H294" t="s">
        <v>106</v>
      </c>
      <c r="I294" t="s">
        <v>76</v>
      </c>
      <c r="J294" t="s">
        <v>106</v>
      </c>
      <c r="K294" t="s">
        <v>538</v>
      </c>
      <c r="L294" t="s">
        <v>285</v>
      </c>
      <c r="M294" t="s">
        <v>285</v>
      </c>
      <c r="N294" t="s">
        <v>286</v>
      </c>
      <c r="O294" t="s">
        <v>130</v>
      </c>
      <c r="P294" t="s">
        <v>77</v>
      </c>
      <c r="Q294" t="s">
        <v>150</v>
      </c>
      <c r="R294" t="s">
        <v>151</v>
      </c>
      <c r="S294" t="s">
        <v>105</v>
      </c>
      <c r="T294">
        <v>41201</v>
      </c>
      <c r="U294" t="s">
        <v>85</v>
      </c>
      <c r="V294">
        <v>51201</v>
      </c>
      <c r="W294" t="s">
        <v>81</v>
      </c>
      <c r="X294">
        <v>240434163</v>
      </c>
      <c r="Y294" t="s">
        <v>74</v>
      </c>
      <c r="Z294">
        <v>1</v>
      </c>
      <c r="AA294" t="s">
        <v>147</v>
      </c>
      <c r="AB294">
        <v>50.53</v>
      </c>
      <c r="AC294">
        <v>50.53</v>
      </c>
      <c r="AD294">
        <v>5.83</v>
      </c>
      <c r="AE294">
        <v>294.58999999999997</v>
      </c>
      <c r="AF294">
        <v>294.58999999999997</v>
      </c>
      <c r="AG294">
        <v>121.09</v>
      </c>
      <c r="AH294">
        <v>121.09</v>
      </c>
      <c r="AI294">
        <v>173.5</v>
      </c>
      <c r="AJ294">
        <v>173.5</v>
      </c>
      <c r="AK294">
        <v>58.9</v>
      </c>
      <c r="AL294">
        <v>-58.59</v>
      </c>
      <c r="AM294">
        <v>390.67</v>
      </c>
      <c r="AN294">
        <v>-44.18</v>
      </c>
      <c r="AO294">
        <v>129.32</v>
      </c>
      <c r="AP294">
        <v>129.32</v>
      </c>
      <c r="AQ294">
        <v>51.643304000000001</v>
      </c>
    </row>
    <row r="295" spans="1:43" x14ac:dyDescent="0.25">
      <c r="A295">
        <v>294</v>
      </c>
      <c r="B295" t="s">
        <v>71</v>
      </c>
      <c r="C295" t="s">
        <v>72</v>
      </c>
      <c r="D295" t="s">
        <v>73</v>
      </c>
      <c r="E295" t="s">
        <v>74</v>
      </c>
      <c r="F295">
        <v>240434163</v>
      </c>
      <c r="G295">
        <v>6589218</v>
      </c>
      <c r="H295" t="s">
        <v>106</v>
      </c>
      <c r="I295" t="s">
        <v>76</v>
      </c>
      <c r="J295" t="s">
        <v>106</v>
      </c>
      <c r="K295" t="s">
        <v>538</v>
      </c>
      <c r="L295" t="s">
        <v>285</v>
      </c>
      <c r="M295" t="s">
        <v>285</v>
      </c>
      <c r="N295" t="s">
        <v>286</v>
      </c>
      <c r="O295" t="s">
        <v>130</v>
      </c>
      <c r="P295" t="s">
        <v>77</v>
      </c>
      <c r="Q295" t="s">
        <v>539</v>
      </c>
      <c r="R295" t="s">
        <v>540</v>
      </c>
      <c r="S295" t="s">
        <v>105</v>
      </c>
      <c r="T295">
        <v>41201</v>
      </c>
      <c r="U295" t="s">
        <v>85</v>
      </c>
      <c r="V295">
        <v>51201</v>
      </c>
      <c r="W295" t="s">
        <v>81</v>
      </c>
      <c r="X295">
        <v>240434163</v>
      </c>
      <c r="Y295" t="s">
        <v>74</v>
      </c>
      <c r="Z295">
        <v>1</v>
      </c>
      <c r="AA295" t="s">
        <v>147</v>
      </c>
      <c r="AB295">
        <v>16.48</v>
      </c>
      <c r="AC295">
        <v>16.48</v>
      </c>
      <c r="AD295">
        <v>5.83</v>
      </c>
      <c r="AE295">
        <v>96.08</v>
      </c>
      <c r="AF295">
        <v>96.08</v>
      </c>
      <c r="AG295">
        <v>37.270000000000003</v>
      </c>
      <c r="AH295">
        <v>37.270000000000003</v>
      </c>
      <c r="AI295">
        <v>58.81</v>
      </c>
      <c r="AJ295">
        <v>58.81</v>
      </c>
      <c r="AK295">
        <v>61.21</v>
      </c>
      <c r="AL295">
        <v>-58.59</v>
      </c>
      <c r="AM295">
        <v>390.67</v>
      </c>
      <c r="AN295">
        <v>-14.41</v>
      </c>
      <c r="AO295">
        <v>44.4</v>
      </c>
      <c r="AP295">
        <v>44.4</v>
      </c>
      <c r="AQ295">
        <v>54.365127000000001</v>
      </c>
    </row>
    <row r="296" spans="1:43" x14ac:dyDescent="0.25">
      <c r="A296">
        <v>295</v>
      </c>
      <c r="B296" t="s">
        <v>71</v>
      </c>
      <c r="C296" t="s">
        <v>72</v>
      </c>
      <c r="D296" t="s">
        <v>73</v>
      </c>
      <c r="E296" t="s">
        <v>74</v>
      </c>
      <c r="F296">
        <v>240434170</v>
      </c>
      <c r="G296">
        <v>6589225</v>
      </c>
      <c r="H296" t="s">
        <v>106</v>
      </c>
      <c r="I296" t="s">
        <v>76</v>
      </c>
      <c r="J296" t="s">
        <v>106</v>
      </c>
      <c r="K296" t="s">
        <v>541</v>
      </c>
      <c r="L296" t="s">
        <v>285</v>
      </c>
      <c r="M296" t="s">
        <v>285</v>
      </c>
      <c r="N296" t="s">
        <v>286</v>
      </c>
      <c r="O296" t="s">
        <v>10</v>
      </c>
      <c r="P296" t="s">
        <v>77</v>
      </c>
      <c r="Q296" t="s">
        <v>222</v>
      </c>
      <c r="R296" t="s">
        <v>223</v>
      </c>
      <c r="S296" t="s">
        <v>84</v>
      </c>
      <c r="T296">
        <v>41201</v>
      </c>
      <c r="U296" t="s">
        <v>85</v>
      </c>
      <c r="V296">
        <v>51201</v>
      </c>
      <c r="W296" t="s">
        <v>81</v>
      </c>
      <c r="X296">
        <v>240434170</v>
      </c>
      <c r="Y296" t="s">
        <v>74</v>
      </c>
      <c r="Z296">
        <v>1</v>
      </c>
      <c r="AA296" t="s">
        <v>152</v>
      </c>
      <c r="AB296">
        <v>257.39999999999998</v>
      </c>
      <c r="AC296">
        <v>257.39999999999998</v>
      </c>
      <c r="AD296">
        <v>1.76</v>
      </c>
      <c r="AE296">
        <v>453.02</v>
      </c>
      <c r="AF296">
        <v>453.02</v>
      </c>
      <c r="AG296">
        <v>238</v>
      </c>
      <c r="AH296">
        <v>238</v>
      </c>
      <c r="AI296">
        <v>215.02</v>
      </c>
      <c r="AJ296">
        <v>215.02</v>
      </c>
      <c r="AK296">
        <v>47.46</v>
      </c>
      <c r="AL296">
        <v>0</v>
      </c>
      <c r="AM296">
        <v>453.02</v>
      </c>
      <c r="AN296">
        <v>0</v>
      </c>
      <c r="AO296">
        <v>215.02</v>
      </c>
      <c r="AP296">
        <v>215.02</v>
      </c>
      <c r="AQ296">
        <v>47.463687999999998</v>
      </c>
    </row>
    <row r="297" spans="1:43" x14ac:dyDescent="0.25">
      <c r="A297">
        <v>296</v>
      </c>
      <c r="B297" t="s">
        <v>71</v>
      </c>
      <c r="C297" t="s">
        <v>72</v>
      </c>
      <c r="D297" t="s">
        <v>73</v>
      </c>
      <c r="E297" t="s">
        <v>74</v>
      </c>
      <c r="F297">
        <v>240434221</v>
      </c>
      <c r="G297">
        <v>6589276</v>
      </c>
      <c r="H297" t="s">
        <v>106</v>
      </c>
      <c r="I297" t="s">
        <v>76</v>
      </c>
      <c r="J297" t="s">
        <v>106</v>
      </c>
      <c r="K297" t="s">
        <v>542</v>
      </c>
      <c r="L297" t="s">
        <v>285</v>
      </c>
      <c r="M297" t="s">
        <v>285</v>
      </c>
      <c r="N297" t="s">
        <v>286</v>
      </c>
      <c r="O297" t="s">
        <v>10</v>
      </c>
      <c r="P297" t="s">
        <v>77</v>
      </c>
      <c r="Q297" t="s">
        <v>78</v>
      </c>
      <c r="R297" t="s">
        <v>143</v>
      </c>
      <c r="S297" t="s">
        <v>79</v>
      </c>
      <c r="T297">
        <v>43201</v>
      </c>
      <c r="U297" t="s">
        <v>129</v>
      </c>
      <c r="V297">
        <v>51201</v>
      </c>
      <c r="W297" t="s">
        <v>81</v>
      </c>
      <c r="X297">
        <v>240434221</v>
      </c>
      <c r="Y297" t="s">
        <v>74</v>
      </c>
      <c r="Z297">
        <v>0</v>
      </c>
      <c r="AA297" t="s">
        <v>152</v>
      </c>
      <c r="AB297">
        <v>22.28</v>
      </c>
      <c r="AC297">
        <v>-22.28</v>
      </c>
      <c r="AD297">
        <v>1.76</v>
      </c>
      <c r="AE297">
        <v>39.21</v>
      </c>
      <c r="AF297">
        <v>-39.21</v>
      </c>
      <c r="AG297">
        <v>0</v>
      </c>
      <c r="AH297">
        <v>0</v>
      </c>
      <c r="AI297">
        <v>39.21</v>
      </c>
      <c r="AJ297">
        <v>-39.21</v>
      </c>
      <c r="AK297">
        <v>0</v>
      </c>
      <c r="AL297">
        <v>-39.21</v>
      </c>
      <c r="AM297">
        <v>261.36</v>
      </c>
      <c r="AN297">
        <v>0</v>
      </c>
      <c r="AO297">
        <v>0</v>
      </c>
      <c r="AP297">
        <v>0</v>
      </c>
      <c r="AQ297">
        <v>0</v>
      </c>
    </row>
    <row r="298" spans="1:43" x14ac:dyDescent="0.25">
      <c r="A298">
        <v>297</v>
      </c>
      <c r="B298" t="s">
        <v>71</v>
      </c>
      <c r="C298" t="s">
        <v>72</v>
      </c>
      <c r="D298" t="s">
        <v>73</v>
      </c>
      <c r="E298" t="s">
        <v>74</v>
      </c>
      <c r="F298">
        <v>240434221</v>
      </c>
      <c r="G298">
        <v>6589276</v>
      </c>
      <c r="H298" t="s">
        <v>106</v>
      </c>
      <c r="I298" t="s">
        <v>76</v>
      </c>
      <c r="J298" t="s">
        <v>106</v>
      </c>
      <c r="K298" t="s">
        <v>542</v>
      </c>
      <c r="L298" t="s">
        <v>285</v>
      </c>
      <c r="M298" t="s">
        <v>285</v>
      </c>
      <c r="N298" t="s">
        <v>286</v>
      </c>
      <c r="O298" t="s">
        <v>10</v>
      </c>
      <c r="P298" t="s">
        <v>77</v>
      </c>
      <c r="Q298" t="s">
        <v>170</v>
      </c>
      <c r="R298" t="s">
        <v>171</v>
      </c>
      <c r="S298" t="s">
        <v>84</v>
      </c>
      <c r="T298">
        <v>41201</v>
      </c>
      <c r="U298" t="s">
        <v>85</v>
      </c>
      <c r="V298">
        <v>51201</v>
      </c>
      <c r="W298" t="s">
        <v>81</v>
      </c>
      <c r="X298">
        <v>240434221</v>
      </c>
      <c r="Y298" t="s">
        <v>74</v>
      </c>
      <c r="Z298">
        <v>1</v>
      </c>
      <c r="AA298" t="s">
        <v>152</v>
      </c>
      <c r="AB298">
        <v>148.5</v>
      </c>
      <c r="AC298">
        <v>148.5</v>
      </c>
      <c r="AD298">
        <v>1.76</v>
      </c>
      <c r="AE298">
        <v>261.36</v>
      </c>
      <c r="AF298">
        <v>261.36</v>
      </c>
      <c r="AG298">
        <v>84</v>
      </c>
      <c r="AH298">
        <v>84</v>
      </c>
      <c r="AI298">
        <v>177.36</v>
      </c>
      <c r="AJ298">
        <v>177.36</v>
      </c>
      <c r="AK298">
        <v>67.86</v>
      </c>
      <c r="AL298">
        <v>-39.21</v>
      </c>
      <c r="AM298">
        <v>261.36</v>
      </c>
      <c r="AN298">
        <v>-39.21</v>
      </c>
      <c r="AO298">
        <v>138.15</v>
      </c>
      <c r="AP298">
        <v>138.15</v>
      </c>
      <c r="AQ298">
        <v>62.187711</v>
      </c>
    </row>
    <row r="299" spans="1:43" x14ac:dyDescent="0.25">
      <c r="A299">
        <v>298</v>
      </c>
      <c r="B299" t="s">
        <v>71</v>
      </c>
      <c r="C299" t="s">
        <v>72</v>
      </c>
      <c r="D299" t="s">
        <v>73</v>
      </c>
      <c r="E299" t="s">
        <v>74</v>
      </c>
      <c r="F299">
        <v>240434691</v>
      </c>
      <c r="G299">
        <v>6589746</v>
      </c>
      <c r="H299" t="s">
        <v>106</v>
      </c>
      <c r="I299" t="s">
        <v>76</v>
      </c>
      <c r="J299" t="s">
        <v>106</v>
      </c>
      <c r="K299" t="s">
        <v>543</v>
      </c>
      <c r="L299" t="s">
        <v>285</v>
      </c>
      <c r="M299" t="s">
        <v>285</v>
      </c>
      <c r="N299" t="s">
        <v>286</v>
      </c>
      <c r="O299" t="s">
        <v>130</v>
      </c>
      <c r="P299" t="s">
        <v>77</v>
      </c>
      <c r="Q299" t="s">
        <v>89</v>
      </c>
      <c r="R299" t="s">
        <v>377</v>
      </c>
      <c r="S299" t="s">
        <v>84</v>
      </c>
      <c r="T299">
        <v>41201</v>
      </c>
      <c r="U299" t="s">
        <v>85</v>
      </c>
      <c r="V299">
        <v>51201</v>
      </c>
      <c r="W299" t="s">
        <v>81</v>
      </c>
      <c r="X299">
        <v>240434691</v>
      </c>
      <c r="Y299" t="s">
        <v>74</v>
      </c>
      <c r="Z299">
        <v>1</v>
      </c>
      <c r="AA299" t="s">
        <v>147</v>
      </c>
      <c r="AB299">
        <v>37.21</v>
      </c>
      <c r="AC299">
        <v>37.21</v>
      </c>
      <c r="AD299">
        <v>5.83</v>
      </c>
      <c r="AE299">
        <v>216.93</v>
      </c>
      <c r="AF299">
        <v>216.93</v>
      </c>
      <c r="AG299">
        <v>80</v>
      </c>
      <c r="AH299">
        <v>80</v>
      </c>
      <c r="AI299">
        <v>136.93</v>
      </c>
      <c r="AJ299">
        <v>136.93</v>
      </c>
      <c r="AK299">
        <v>63.12</v>
      </c>
      <c r="AL299">
        <v>-53.34</v>
      </c>
      <c r="AM299">
        <v>355.62</v>
      </c>
      <c r="AN299">
        <v>-32.54</v>
      </c>
      <c r="AO299">
        <v>104.39</v>
      </c>
      <c r="AP299">
        <v>104.39</v>
      </c>
      <c r="AQ299">
        <v>56.613698999999997</v>
      </c>
    </row>
    <row r="300" spans="1:43" x14ac:dyDescent="0.25">
      <c r="A300">
        <v>299</v>
      </c>
      <c r="B300" t="s">
        <v>71</v>
      </c>
      <c r="C300" t="s">
        <v>72</v>
      </c>
      <c r="D300" t="s">
        <v>73</v>
      </c>
      <c r="E300" t="s">
        <v>74</v>
      </c>
      <c r="F300">
        <v>240434691</v>
      </c>
      <c r="G300">
        <v>6589746</v>
      </c>
      <c r="H300" t="s">
        <v>106</v>
      </c>
      <c r="I300" t="s">
        <v>76</v>
      </c>
      <c r="J300" t="s">
        <v>106</v>
      </c>
      <c r="K300" t="s">
        <v>543</v>
      </c>
      <c r="L300" t="s">
        <v>285</v>
      </c>
      <c r="M300" t="s">
        <v>285</v>
      </c>
      <c r="N300" t="s">
        <v>286</v>
      </c>
      <c r="O300" t="s">
        <v>130</v>
      </c>
      <c r="P300" t="s">
        <v>77</v>
      </c>
      <c r="Q300" t="s">
        <v>78</v>
      </c>
      <c r="R300" t="s">
        <v>143</v>
      </c>
      <c r="S300" t="s">
        <v>79</v>
      </c>
      <c r="T300">
        <v>43201</v>
      </c>
      <c r="U300" t="s">
        <v>129</v>
      </c>
      <c r="V300">
        <v>51201</v>
      </c>
      <c r="W300" t="s">
        <v>81</v>
      </c>
      <c r="X300">
        <v>240434691</v>
      </c>
      <c r="Y300" t="s">
        <v>74</v>
      </c>
      <c r="Z300">
        <v>0</v>
      </c>
      <c r="AA300" t="s">
        <v>147</v>
      </c>
      <c r="AB300">
        <v>9.15</v>
      </c>
      <c r="AC300">
        <v>-9.15</v>
      </c>
      <c r="AD300">
        <v>5.83</v>
      </c>
      <c r="AE300">
        <v>53.34</v>
      </c>
      <c r="AF300">
        <v>-53.34</v>
      </c>
      <c r="AG300">
        <v>0</v>
      </c>
      <c r="AH300">
        <v>0</v>
      </c>
      <c r="AI300">
        <v>53.34</v>
      </c>
      <c r="AJ300">
        <v>-53.34</v>
      </c>
      <c r="AK300">
        <v>0</v>
      </c>
      <c r="AL300">
        <v>-53.34</v>
      </c>
      <c r="AM300">
        <v>355.62</v>
      </c>
      <c r="AN300">
        <v>0</v>
      </c>
      <c r="AO300">
        <v>0</v>
      </c>
      <c r="AP300">
        <v>0</v>
      </c>
      <c r="AQ300">
        <v>0</v>
      </c>
    </row>
    <row r="301" spans="1:43" x14ac:dyDescent="0.25">
      <c r="A301">
        <v>300</v>
      </c>
      <c r="B301" t="s">
        <v>71</v>
      </c>
      <c r="C301" t="s">
        <v>72</v>
      </c>
      <c r="D301" t="s">
        <v>73</v>
      </c>
      <c r="E301" t="s">
        <v>74</v>
      </c>
      <c r="F301">
        <v>240434691</v>
      </c>
      <c r="G301">
        <v>6589746</v>
      </c>
      <c r="H301" t="s">
        <v>106</v>
      </c>
      <c r="I301" t="s">
        <v>76</v>
      </c>
      <c r="J301" t="s">
        <v>106</v>
      </c>
      <c r="K301" t="s">
        <v>543</v>
      </c>
      <c r="L301" t="s">
        <v>285</v>
      </c>
      <c r="M301" t="s">
        <v>285</v>
      </c>
      <c r="N301" t="s">
        <v>286</v>
      </c>
      <c r="O301" t="s">
        <v>130</v>
      </c>
      <c r="P301" t="s">
        <v>77</v>
      </c>
      <c r="Q301" t="s">
        <v>82</v>
      </c>
      <c r="R301" t="s">
        <v>112</v>
      </c>
      <c r="S301" t="s">
        <v>84</v>
      </c>
      <c r="T301">
        <v>41201</v>
      </c>
      <c r="U301" t="s">
        <v>85</v>
      </c>
      <c r="V301">
        <v>51201</v>
      </c>
      <c r="W301" t="s">
        <v>81</v>
      </c>
      <c r="X301">
        <v>240434691</v>
      </c>
      <c r="Y301" t="s">
        <v>74</v>
      </c>
      <c r="Z301">
        <v>1</v>
      </c>
      <c r="AA301" t="s">
        <v>147</v>
      </c>
      <c r="AB301">
        <v>7.93</v>
      </c>
      <c r="AC301">
        <v>7.93</v>
      </c>
      <c r="AD301">
        <v>5.83</v>
      </c>
      <c r="AE301">
        <v>46.23</v>
      </c>
      <c r="AF301">
        <v>46.23</v>
      </c>
      <c r="AG301">
        <v>14</v>
      </c>
      <c r="AH301">
        <v>14</v>
      </c>
      <c r="AI301">
        <v>32.229999999999997</v>
      </c>
      <c r="AJ301">
        <v>32.229999999999997</v>
      </c>
      <c r="AK301">
        <v>69.72</v>
      </c>
      <c r="AL301">
        <v>-53.34</v>
      </c>
      <c r="AM301">
        <v>355.62</v>
      </c>
      <c r="AN301">
        <v>-6.93</v>
      </c>
      <c r="AO301">
        <v>25.3</v>
      </c>
      <c r="AP301">
        <v>25.3</v>
      </c>
      <c r="AQ301">
        <v>64.376589999999993</v>
      </c>
    </row>
    <row r="302" spans="1:43" x14ac:dyDescent="0.25">
      <c r="A302">
        <v>301</v>
      </c>
      <c r="B302" t="s">
        <v>71</v>
      </c>
      <c r="C302" t="s">
        <v>72</v>
      </c>
      <c r="D302" t="s">
        <v>73</v>
      </c>
      <c r="E302" t="s">
        <v>74</v>
      </c>
      <c r="F302">
        <v>240434691</v>
      </c>
      <c r="G302">
        <v>6589746</v>
      </c>
      <c r="H302" t="s">
        <v>106</v>
      </c>
      <c r="I302" t="s">
        <v>76</v>
      </c>
      <c r="J302" t="s">
        <v>106</v>
      </c>
      <c r="K302" t="s">
        <v>543</v>
      </c>
      <c r="L302" t="s">
        <v>285</v>
      </c>
      <c r="M302" t="s">
        <v>285</v>
      </c>
      <c r="N302" t="s">
        <v>286</v>
      </c>
      <c r="O302" t="s">
        <v>130</v>
      </c>
      <c r="P302" t="s">
        <v>77</v>
      </c>
      <c r="Q302" t="s">
        <v>107</v>
      </c>
      <c r="R302" t="s">
        <v>108</v>
      </c>
      <c r="S302" t="s">
        <v>84</v>
      </c>
      <c r="T302">
        <v>41201</v>
      </c>
      <c r="U302" t="s">
        <v>85</v>
      </c>
      <c r="V302">
        <v>51201</v>
      </c>
      <c r="W302" t="s">
        <v>81</v>
      </c>
      <c r="X302">
        <v>240434691</v>
      </c>
      <c r="Y302" t="s">
        <v>74</v>
      </c>
      <c r="Z302">
        <v>1</v>
      </c>
      <c r="AA302" t="s">
        <v>147</v>
      </c>
      <c r="AB302">
        <v>15.86</v>
      </c>
      <c r="AC302">
        <v>15.86</v>
      </c>
      <c r="AD302">
        <v>5.83</v>
      </c>
      <c r="AE302">
        <v>92.46</v>
      </c>
      <c r="AF302">
        <v>92.46</v>
      </c>
      <c r="AG302">
        <v>22</v>
      </c>
      <c r="AH302">
        <v>22</v>
      </c>
      <c r="AI302">
        <v>70.459999999999994</v>
      </c>
      <c r="AJ302">
        <v>70.459999999999994</v>
      </c>
      <c r="AK302">
        <v>76.209999999999994</v>
      </c>
      <c r="AL302">
        <v>-53.34</v>
      </c>
      <c r="AM302">
        <v>355.62</v>
      </c>
      <c r="AN302">
        <v>-13.87</v>
      </c>
      <c r="AO302">
        <v>56.59</v>
      </c>
      <c r="AP302">
        <v>56.59</v>
      </c>
      <c r="AQ302">
        <v>72.006615999999994</v>
      </c>
    </row>
    <row r="303" spans="1:43" x14ac:dyDescent="0.25">
      <c r="A303">
        <v>302</v>
      </c>
      <c r="B303" t="s">
        <v>71</v>
      </c>
      <c r="C303" t="s">
        <v>72</v>
      </c>
      <c r="D303" t="s">
        <v>73</v>
      </c>
      <c r="E303" t="s">
        <v>74</v>
      </c>
      <c r="F303">
        <v>240434816</v>
      </c>
      <c r="G303">
        <v>6589871</v>
      </c>
      <c r="H303" t="s">
        <v>106</v>
      </c>
      <c r="I303" t="s">
        <v>76</v>
      </c>
      <c r="J303" t="s">
        <v>106</v>
      </c>
      <c r="K303" t="s">
        <v>544</v>
      </c>
      <c r="L303" t="s">
        <v>285</v>
      </c>
      <c r="M303" t="s">
        <v>285</v>
      </c>
      <c r="N303" t="s">
        <v>286</v>
      </c>
      <c r="O303" t="s">
        <v>130</v>
      </c>
      <c r="P303" t="s">
        <v>77</v>
      </c>
      <c r="Q303" t="s">
        <v>545</v>
      </c>
      <c r="R303" t="s">
        <v>546</v>
      </c>
      <c r="S303" t="s">
        <v>105</v>
      </c>
      <c r="T303">
        <v>41201</v>
      </c>
      <c r="U303" t="s">
        <v>85</v>
      </c>
      <c r="V303">
        <v>51201</v>
      </c>
      <c r="W303" t="s">
        <v>81</v>
      </c>
      <c r="X303">
        <v>240434816</v>
      </c>
      <c r="Y303" t="s">
        <v>74</v>
      </c>
      <c r="Z303">
        <v>1</v>
      </c>
      <c r="AA303" t="s">
        <v>147</v>
      </c>
      <c r="AB303">
        <v>43</v>
      </c>
      <c r="AC303">
        <v>43</v>
      </c>
      <c r="AD303">
        <v>5.83</v>
      </c>
      <c r="AE303">
        <v>250.69</v>
      </c>
      <c r="AF303">
        <v>250.69</v>
      </c>
      <c r="AG303">
        <v>61.61</v>
      </c>
      <c r="AH303">
        <v>61.61</v>
      </c>
      <c r="AI303">
        <v>189.08</v>
      </c>
      <c r="AJ303">
        <v>189.08</v>
      </c>
      <c r="AK303">
        <v>75.42</v>
      </c>
      <c r="AL303">
        <v>-37.6</v>
      </c>
      <c r="AM303">
        <v>250.69</v>
      </c>
      <c r="AN303">
        <v>-37.6</v>
      </c>
      <c r="AO303">
        <v>151.47999999999999</v>
      </c>
      <c r="AP303">
        <v>151.47999999999999</v>
      </c>
      <c r="AQ303">
        <v>71.087333000000001</v>
      </c>
    </row>
    <row r="304" spans="1:43" x14ac:dyDescent="0.25">
      <c r="A304">
        <v>303</v>
      </c>
      <c r="B304" t="s">
        <v>71</v>
      </c>
      <c r="C304" t="s">
        <v>72</v>
      </c>
      <c r="D304" t="s">
        <v>73</v>
      </c>
      <c r="E304" t="s">
        <v>74</v>
      </c>
      <c r="F304">
        <v>240434816</v>
      </c>
      <c r="G304">
        <v>6589871</v>
      </c>
      <c r="H304" t="s">
        <v>106</v>
      </c>
      <c r="I304" t="s">
        <v>76</v>
      </c>
      <c r="J304" t="s">
        <v>106</v>
      </c>
      <c r="K304" t="s">
        <v>544</v>
      </c>
      <c r="L304" t="s">
        <v>285</v>
      </c>
      <c r="M304" t="s">
        <v>285</v>
      </c>
      <c r="N304" t="s">
        <v>286</v>
      </c>
      <c r="O304" t="s">
        <v>130</v>
      </c>
      <c r="P304" t="s">
        <v>77</v>
      </c>
      <c r="Q304" t="s">
        <v>78</v>
      </c>
      <c r="R304" t="s">
        <v>143</v>
      </c>
      <c r="S304" t="s">
        <v>79</v>
      </c>
      <c r="T304">
        <v>43201</v>
      </c>
      <c r="U304" t="s">
        <v>129</v>
      </c>
      <c r="V304">
        <v>51201</v>
      </c>
      <c r="W304" t="s">
        <v>81</v>
      </c>
      <c r="X304">
        <v>240434816</v>
      </c>
      <c r="Y304" t="s">
        <v>74</v>
      </c>
      <c r="Z304">
        <v>0</v>
      </c>
      <c r="AA304" t="s">
        <v>147</v>
      </c>
      <c r="AB304">
        <v>6.45</v>
      </c>
      <c r="AC304">
        <v>-6.45</v>
      </c>
      <c r="AD304">
        <v>5.83</v>
      </c>
      <c r="AE304">
        <v>37.6</v>
      </c>
      <c r="AF304">
        <v>-37.6</v>
      </c>
      <c r="AG304">
        <v>0</v>
      </c>
      <c r="AH304">
        <v>0</v>
      </c>
      <c r="AI304">
        <v>37.6</v>
      </c>
      <c r="AJ304">
        <v>-37.6</v>
      </c>
      <c r="AK304">
        <v>0</v>
      </c>
      <c r="AL304">
        <v>-37.6</v>
      </c>
      <c r="AM304">
        <v>250.69</v>
      </c>
      <c r="AN304">
        <v>0</v>
      </c>
      <c r="AO304">
        <v>0</v>
      </c>
      <c r="AP304">
        <v>0</v>
      </c>
      <c r="AQ304">
        <v>0</v>
      </c>
    </row>
    <row r="305" spans="1:43" x14ac:dyDescent="0.25">
      <c r="A305">
        <v>304</v>
      </c>
      <c r="B305" t="s">
        <v>71</v>
      </c>
      <c r="C305" t="s">
        <v>72</v>
      </c>
      <c r="D305" t="s">
        <v>73</v>
      </c>
      <c r="E305" t="s">
        <v>74</v>
      </c>
      <c r="F305">
        <v>240435653</v>
      </c>
      <c r="G305">
        <v>6590718</v>
      </c>
      <c r="H305" t="s">
        <v>238</v>
      </c>
      <c r="I305" t="s">
        <v>76</v>
      </c>
      <c r="J305" t="s">
        <v>238</v>
      </c>
      <c r="K305" t="s">
        <v>547</v>
      </c>
      <c r="L305" t="s">
        <v>285</v>
      </c>
      <c r="M305" t="s">
        <v>285</v>
      </c>
      <c r="N305" t="s">
        <v>286</v>
      </c>
      <c r="O305" t="s">
        <v>130</v>
      </c>
      <c r="P305" t="s">
        <v>77</v>
      </c>
      <c r="Q305" t="s">
        <v>78</v>
      </c>
      <c r="R305" t="s">
        <v>143</v>
      </c>
      <c r="S305" t="s">
        <v>79</v>
      </c>
      <c r="T305">
        <v>43201</v>
      </c>
      <c r="U305" t="s">
        <v>129</v>
      </c>
      <c r="V305">
        <v>51201</v>
      </c>
      <c r="W305" t="s">
        <v>81</v>
      </c>
      <c r="X305">
        <v>240435653</v>
      </c>
      <c r="Y305" t="s">
        <v>74</v>
      </c>
      <c r="Z305">
        <v>0</v>
      </c>
      <c r="AA305" t="s">
        <v>147</v>
      </c>
      <c r="AB305">
        <v>27.15</v>
      </c>
      <c r="AC305">
        <v>-27.15</v>
      </c>
      <c r="AD305">
        <v>5.83</v>
      </c>
      <c r="AE305">
        <v>158.28</v>
      </c>
      <c r="AF305">
        <v>-158.28</v>
      </c>
      <c r="AG305">
        <v>0</v>
      </c>
      <c r="AH305">
        <v>0</v>
      </c>
      <c r="AI305">
        <v>158.28</v>
      </c>
      <c r="AJ305">
        <v>-158.28</v>
      </c>
      <c r="AK305">
        <v>0</v>
      </c>
      <c r="AL305">
        <v>-158.28</v>
      </c>
      <c r="AM305">
        <v>1055.24</v>
      </c>
      <c r="AN305">
        <v>0</v>
      </c>
      <c r="AO305">
        <v>0</v>
      </c>
      <c r="AP305">
        <v>0</v>
      </c>
      <c r="AQ305">
        <v>0</v>
      </c>
    </row>
    <row r="306" spans="1:43" x14ac:dyDescent="0.25">
      <c r="A306">
        <v>305</v>
      </c>
      <c r="B306" t="s">
        <v>71</v>
      </c>
      <c r="C306" t="s">
        <v>72</v>
      </c>
      <c r="D306" t="s">
        <v>73</v>
      </c>
      <c r="E306" t="s">
        <v>74</v>
      </c>
      <c r="F306">
        <v>240435653</v>
      </c>
      <c r="G306">
        <v>6590718</v>
      </c>
      <c r="H306" t="s">
        <v>238</v>
      </c>
      <c r="I306" t="s">
        <v>76</v>
      </c>
      <c r="J306" t="s">
        <v>238</v>
      </c>
      <c r="K306" t="s">
        <v>547</v>
      </c>
      <c r="L306" t="s">
        <v>285</v>
      </c>
      <c r="M306" t="s">
        <v>285</v>
      </c>
      <c r="N306" t="s">
        <v>286</v>
      </c>
      <c r="O306" t="s">
        <v>130</v>
      </c>
      <c r="P306" t="s">
        <v>77</v>
      </c>
      <c r="Q306" t="s">
        <v>548</v>
      </c>
      <c r="R306" t="s">
        <v>494</v>
      </c>
      <c r="S306" t="s">
        <v>84</v>
      </c>
      <c r="T306">
        <v>41201</v>
      </c>
      <c r="U306" t="s">
        <v>85</v>
      </c>
      <c r="V306">
        <v>51201</v>
      </c>
      <c r="W306" t="s">
        <v>81</v>
      </c>
      <c r="X306">
        <v>240435653</v>
      </c>
      <c r="Y306" t="s">
        <v>74</v>
      </c>
      <c r="Z306">
        <v>1</v>
      </c>
      <c r="AA306" t="s">
        <v>147</v>
      </c>
      <c r="AB306">
        <v>67.97</v>
      </c>
      <c r="AC306">
        <v>67.97</v>
      </c>
      <c r="AD306">
        <v>5.83</v>
      </c>
      <c r="AE306">
        <v>396.27</v>
      </c>
      <c r="AF306">
        <v>396.27</v>
      </c>
      <c r="AG306">
        <v>141</v>
      </c>
      <c r="AH306">
        <v>141</v>
      </c>
      <c r="AI306">
        <v>255.27</v>
      </c>
      <c r="AJ306">
        <v>255.27</v>
      </c>
      <c r="AK306">
        <v>64.42</v>
      </c>
      <c r="AL306">
        <v>-158.28</v>
      </c>
      <c r="AM306">
        <v>1055.24</v>
      </c>
      <c r="AN306">
        <v>-59.44</v>
      </c>
      <c r="AO306">
        <v>195.83</v>
      </c>
      <c r="AP306">
        <v>195.83</v>
      </c>
      <c r="AQ306">
        <v>58.139119999999998</v>
      </c>
    </row>
    <row r="307" spans="1:43" x14ac:dyDescent="0.25">
      <c r="A307">
        <v>306</v>
      </c>
      <c r="B307" t="s">
        <v>71</v>
      </c>
      <c r="C307" t="s">
        <v>72</v>
      </c>
      <c r="D307" t="s">
        <v>73</v>
      </c>
      <c r="E307" t="s">
        <v>74</v>
      </c>
      <c r="F307">
        <v>240435653</v>
      </c>
      <c r="G307">
        <v>6590718</v>
      </c>
      <c r="H307" t="s">
        <v>238</v>
      </c>
      <c r="I307" t="s">
        <v>76</v>
      </c>
      <c r="J307" t="s">
        <v>238</v>
      </c>
      <c r="K307" t="s">
        <v>547</v>
      </c>
      <c r="L307" t="s">
        <v>285</v>
      </c>
      <c r="M307" t="s">
        <v>285</v>
      </c>
      <c r="N307" t="s">
        <v>286</v>
      </c>
      <c r="O307" t="s">
        <v>130</v>
      </c>
      <c r="P307" t="s">
        <v>77</v>
      </c>
      <c r="Q307" t="s">
        <v>331</v>
      </c>
      <c r="R307" t="s">
        <v>332</v>
      </c>
      <c r="S307" t="s">
        <v>84</v>
      </c>
      <c r="T307">
        <v>41201</v>
      </c>
      <c r="U307" t="s">
        <v>85</v>
      </c>
      <c r="V307">
        <v>51201</v>
      </c>
      <c r="W307" t="s">
        <v>81</v>
      </c>
      <c r="X307">
        <v>240435653</v>
      </c>
      <c r="Y307" t="s">
        <v>74</v>
      </c>
      <c r="Z307">
        <v>1</v>
      </c>
      <c r="AA307" t="s">
        <v>147</v>
      </c>
      <c r="AB307">
        <v>59.02</v>
      </c>
      <c r="AC307">
        <v>59.02</v>
      </c>
      <c r="AD307">
        <v>5.83</v>
      </c>
      <c r="AE307">
        <v>344.09</v>
      </c>
      <c r="AF307">
        <v>344.09</v>
      </c>
      <c r="AG307">
        <v>144</v>
      </c>
      <c r="AH307">
        <v>144</v>
      </c>
      <c r="AI307">
        <v>200.09</v>
      </c>
      <c r="AJ307">
        <v>200.09</v>
      </c>
      <c r="AK307">
        <v>58.15</v>
      </c>
      <c r="AL307">
        <v>-158.28</v>
      </c>
      <c r="AM307">
        <v>1055.24</v>
      </c>
      <c r="AN307">
        <v>-51.61</v>
      </c>
      <c r="AO307">
        <v>148.47999999999999</v>
      </c>
      <c r="AP307">
        <v>148.47999999999999</v>
      </c>
      <c r="AQ307">
        <v>50.765864000000001</v>
      </c>
    </row>
    <row r="308" spans="1:43" x14ac:dyDescent="0.25">
      <c r="A308">
        <v>307</v>
      </c>
      <c r="B308" t="s">
        <v>71</v>
      </c>
      <c r="C308" t="s">
        <v>72</v>
      </c>
      <c r="D308" t="s">
        <v>73</v>
      </c>
      <c r="E308" t="s">
        <v>74</v>
      </c>
      <c r="F308">
        <v>240435653</v>
      </c>
      <c r="G308">
        <v>6590718</v>
      </c>
      <c r="H308" t="s">
        <v>238</v>
      </c>
      <c r="I308" t="s">
        <v>76</v>
      </c>
      <c r="J308" t="s">
        <v>238</v>
      </c>
      <c r="K308" t="s">
        <v>547</v>
      </c>
      <c r="L308" t="s">
        <v>285</v>
      </c>
      <c r="M308" t="s">
        <v>285</v>
      </c>
      <c r="N308" t="s">
        <v>286</v>
      </c>
      <c r="O308" t="s">
        <v>130</v>
      </c>
      <c r="P308" t="s">
        <v>77</v>
      </c>
      <c r="Q308" t="s">
        <v>400</v>
      </c>
      <c r="R308" t="s">
        <v>401</v>
      </c>
      <c r="S308" t="s">
        <v>84</v>
      </c>
      <c r="T308">
        <v>41201</v>
      </c>
      <c r="U308" t="s">
        <v>85</v>
      </c>
      <c r="V308">
        <v>51201</v>
      </c>
      <c r="W308" t="s">
        <v>81</v>
      </c>
      <c r="X308">
        <v>240435653</v>
      </c>
      <c r="Y308" t="s">
        <v>74</v>
      </c>
      <c r="Z308">
        <v>1</v>
      </c>
      <c r="AA308" t="s">
        <v>147</v>
      </c>
      <c r="AB308">
        <v>54.01</v>
      </c>
      <c r="AC308">
        <v>54.01</v>
      </c>
      <c r="AD308">
        <v>5.83</v>
      </c>
      <c r="AE308">
        <v>314.88</v>
      </c>
      <c r="AF308">
        <v>314.88</v>
      </c>
      <c r="AG308">
        <v>145</v>
      </c>
      <c r="AH308">
        <v>145</v>
      </c>
      <c r="AI308">
        <v>169.88</v>
      </c>
      <c r="AJ308">
        <v>169.88</v>
      </c>
      <c r="AK308">
        <v>53.95</v>
      </c>
      <c r="AL308">
        <v>-158.28</v>
      </c>
      <c r="AM308">
        <v>1055.24</v>
      </c>
      <c r="AN308">
        <v>-47.23</v>
      </c>
      <c r="AO308">
        <v>122.65</v>
      </c>
      <c r="AP308">
        <v>122.65</v>
      </c>
      <c r="AQ308">
        <v>45.824770999999998</v>
      </c>
    </row>
    <row r="309" spans="1:43" x14ac:dyDescent="0.25">
      <c r="A309">
        <v>308</v>
      </c>
      <c r="B309" t="s">
        <v>71</v>
      </c>
      <c r="C309" t="s">
        <v>72</v>
      </c>
      <c r="D309" t="s">
        <v>73</v>
      </c>
      <c r="E309" t="s">
        <v>74</v>
      </c>
      <c r="F309">
        <v>240436057</v>
      </c>
      <c r="G309">
        <v>6591132</v>
      </c>
      <c r="H309" t="s">
        <v>241</v>
      </c>
      <c r="I309" t="s">
        <v>76</v>
      </c>
      <c r="J309" t="s">
        <v>241</v>
      </c>
      <c r="K309" t="s">
        <v>549</v>
      </c>
      <c r="L309" t="s">
        <v>285</v>
      </c>
      <c r="M309" t="s">
        <v>285</v>
      </c>
      <c r="N309" t="s">
        <v>286</v>
      </c>
      <c r="O309" t="s">
        <v>132</v>
      </c>
      <c r="P309" t="s">
        <v>77</v>
      </c>
      <c r="Q309" t="s">
        <v>550</v>
      </c>
      <c r="R309" t="s">
        <v>551</v>
      </c>
      <c r="S309" t="s">
        <v>84</v>
      </c>
      <c r="T309">
        <v>41201</v>
      </c>
      <c r="U309" t="s">
        <v>85</v>
      </c>
      <c r="V309">
        <v>51201</v>
      </c>
      <c r="W309" t="s">
        <v>81</v>
      </c>
      <c r="X309">
        <v>240436057</v>
      </c>
      <c r="Y309" t="s">
        <v>74</v>
      </c>
      <c r="Z309">
        <v>1</v>
      </c>
      <c r="AA309" t="s">
        <v>123</v>
      </c>
      <c r="AB309">
        <v>1016</v>
      </c>
      <c r="AC309">
        <v>0</v>
      </c>
      <c r="AD309">
        <v>0</v>
      </c>
      <c r="AE309">
        <v>1016</v>
      </c>
      <c r="AF309">
        <v>1016</v>
      </c>
      <c r="AG309">
        <v>528</v>
      </c>
      <c r="AH309">
        <v>528</v>
      </c>
      <c r="AI309">
        <v>488</v>
      </c>
      <c r="AJ309">
        <v>488</v>
      </c>
      <c r="AK309">
        <v>48.03</v>
      </c>
      <c r="AL309">
        <v>-152.4</v>
      </c>
      <c r="AM309">
        <v>1016</v>
      </c>
      <c r="AN309">
        <v>-152.4</v>
      </c>
      <c r="AO309">
        <v>335.6</v>
      </c>
      <c r="AP309">
        <v>335.6</v>
      </c>
      <c r="AQ309">
        <v>38.860582999999998</v>
      </c>
    </row>
    <row r="310" spans="1:43" x14ac:dyDescent="0.25">
      <c r="A310">
        <v>309</v>
      </c>
      <c r="B310" t="s">
        <v>71</v>
      </c>
      <c r="C310" t="s">
        <v>72</v>
      </c>
      <c r="D310" t="s">
        <v>73</v>
      </c>
      <c r="E310" t="s">
        <v>74</v>
      </c>
      <c r="F310">
        <v>240436057</v>
      </c>
      <c r="G310">
        <v>6591132</v>
      </c>
      <c r="H310" t="s">
        <v>241</v>
      </c>
      <c r="I310" t="s">
        <v>76</v>
      </c>
      <c r="J310" t="s">
        <v>241</v>
      </c>
      <c r="K310" t="s">
        <v>549</v>
      </c>
      <c r="L310" t="s">
        <v>285</v>
      </c>
      <c r="M310" t="s">
        <v>285</v>
      </c>
      <c r="N310" t="s">
        <v>286</v>
      </c>
      <c r="O310" t="s">
        <v>132</v>
      </c>
      <c r="P310" t="s">
        <v>77</v>
      </c>
      <c r="Q310" t="s">
        <v>78</v>
      </c>
      <c r="R310" t="s">
        <v>143</v>
      </c>
      <c r="S310" t="s">
        <v>79</v>
      </c>
      <c r="T310">
        <v>43201</v>
      </c>
      <c r="U310" t="s">
        <v>129</v>
      </c>
      <c r="V310">
        <v>51201</v>
      </c>
      <c r="W310" t="s">
        <v>81</v>
      </c>
      <c r="X310">
        <v>240436057</v>
      </c>
      <c r="Y310" t="s">
        <v>74</v>
      </c>
      <c r="Z310">
        <v>0</v>
      </c>
      <c r="AA310" t="s">
        <v>123</v>
      </c>
      <c r="AB310">
        <v>152.4</v>
      </c>
      <c r="AC310">
        <v>0</v>
      </c>
      <c r="AD310">
        <v>0</v>
      </c>
      <c r="AE310">
        <v>152.4</v>
      </c>
      <c r="AF310">
        <v>-152.4</v>
      </c>
      <c r="AG310">
        <v>0</v>
      </c>
      <c r="AH310">
        <v>0</v>
      </c>
      <c r="AI310">
        <v>152.4</v>
      </c>
      <c r="AJ310">
        <v>-152.4</v>
      </c>
      <c r="AK310">
        <v>0</v>
      </c>
      <c r="AL310">
        <v>-152.4</v>
      </c>
      <c r="AM310">
        <v>1016</v>
      </c>
      <c r="AN310">
        <v>0</v>
      </c>
      <c r="AO310">
        <v>0</v>
      </c>
      <c r="AP310">
        <v>0</v>
      </c>
      <c r="AQ310">
        <v>0</v>
      </c>
    </row>
    <row r="311" spans="1:43" x14ac:dyDescent="0.25">
      <c r="A311">
        <v>310</v>
      </c>
      <c r="B311" t="s">
        <v>71</v>
      </c>
      <c r="C311" t="s">
        <v>72</v>
      </c>
      <c r="D311" t="s">
        <v>73</v>
      </c>
      <c r="E311" t="s">
        <v>74</v>
      </c>
      <c r="F311">
        <v>240436118</v>
      </c>
      <c r="G311">
        <v>6591193</v>
      </c>
      <c r="H311" t="s">
        <v>241</v>
      </c>
      <c r="I311" t="s">
        <v>76</v>
      </c>
      <c r="J311" t="s">
        <v>241</v>
      </c>
      <c r="K311" t="s">
        <v>552</v>
      </c>
      <c r="L311" t="s">
        <v>285</v>
      </c>
      <c r="M311" t="s">
        <v>285</v>
      </c>
      <c r="N311" t="s">
        <v>286</v>
      </c>
      <c r="O311" t="s">
        <v>10</v>
      </c>
      <c r="P311" t="s">
        <v>77</v>
      </c>
      <c r="Q311" t="s">
        <v>78</v>
      </c>
      <c r="R311" t="s">
        <v>143</v>
      </c>
      <c r="S311" t="s">
        <v>79</v>
      </c>
      <c r="T311">
        <v>43201</v>
      </c>
      <c r="U311" t="s">
        <v>129</v>
      </c>
      <c r="V311">
        <v>51201</v>
      </c>
      <c r="W311" t="s">
        <v>81</v>
      </c>
      <c r="X311">
        <v>240436118</v>
      </c>
      <c r="Y311" t="s">
        <v>74</v>
      </c>
      <c r="Z311">
        <v>0</v>
      </c>
      <c r="AA311" t="s">
        <v>152</v>
      </c>
      <c r="AB311">
        <v>43.2</v>
      </c>
      <c r="AC311">
        <v>-43.2</v>
      </c>
      <c r="AD311">
        <v>1.76</v>
      </c>
      <c r="AE311">
        <v>76.03</v>
      </c>
      <c r="AF311">
        <v>-76.03</v>
      </c>
      <c r="AG311">
        <v>0</v>
      </c>
      <c r="AH311">
        <v>0</v>
      </c>
      <c r="AI311">
        <v>76.03</v>
      </c>
      <c r="AJ311">
        <v>-76.03</v>
      </c>
      <c r="AK311">
        <v>0</v>
      </c>
      <c r="AL311">
        <v>-76.03</v>
      </c>
      <c r="AM311">
        <v>506.88</v>
      </c>
      <c r="AN311">
        <v>0</v>
      </c>
      <c r="AO311">
        <v>0</v>
      </c>
      <c r="AP311">
        <v>0</v>
      </c>
      <c r="AQ311">
        <v>0</v>
      </c>
    </row>
    <row r="312" spans="1:43" x14ac:dyDescent="0.25">
      <c r="A312">
        <v>311</v>
      </c>
      <c r="B312" t="s">
        <v>71</v>
      </c>
      <c r="C312" t="s">
        <v>72</v>
      </c>
      <c r="D312" t="s">
        <v>73</v>
      </c>
      <c r="E312" t="s">
        <v>74</v>
      </c>
      <c r="F312">
        <v>240436118</v>
      </c>
      <c r="G312">
        <v>6591193</v>
      </c>
      <c r="H312" t="s">
        <v>241</v>
      </c>
      <c r="I312" t="s">
        <v>76</v>
      </c>
      <c r="J312" t="s">
        <v>241</v>
      </c>
      <c r="K312" t="s">
        <v>552</v>
      </c>
      <c r="L312" t="s">
        <v>285</v>
      </c>
      <c r="M312" t="s">
        <v>285</v>
      </c>
      <c r="N312" t="s">
        <v>286</v>
      </c>
      <c r="O312" t="s">
        <v>10</v>
      </c>
      <c r="P312" t="s">
        <v>77</v>
      </c>
      <c r="Q312" t="s">
        <v>266</v>
      </c>
      <c r="R312" t="s">
        <v>267</v>
      </c>
      <c r="S312" t="s">
        <v>84</v>
      </c>
      <c r="T312">
        <v>41201</v>
      </c>
      <c r="U312" t="s">
        <v>85</v>
      </c>
      <c r="V312">
        <v>51201</v>
      </c>
      <c r="W312" t="s">
        <v>81</v>
      </c>
      <c r="X312">
        <v>240436118</v>
      </c>
      <c r="Y312" t="s">
        <v>74</v>
      </c>
      <c r="Z312">
        <v>1</v>
      </c>
      <c r="AA312" t="s">
        <v>152</v>
      </c>
      <c r="AB312">
        <v>288</v>
      </c>
      <c r="AC312">
        <v>288</v>
      </c>
      <c r="AD312">
        <v>1.76</v>
      </c>
      <c r="AE312">
        <v>506.88</v>
      </c>
      <c r="AF312">
        <v>506.88</v>
      </c>
      <c r="AG312">
        <v>216.94</v>
      </c>
      <c r="AH312">
        <v>216.94</v>
      </c>
      <c r="AI312">
        <v>289.94</v>
      </c>
      <c r="AJ312">
        <v>289.94</v>
      </c>
      <c r="AK312">
        <v>57.2</v>
      </c>
      <c r="AL312">
        <v>-76.03</v>
      </c>
      <c r="AM312">
        <v>506.88</v>
      </c>
      <c r="AN312">
        <v>-76.03</v>
      </c>
      <c r="AO312">
        <v>213.91</v>
      </c>
      <c r="AP312">
        <v>213.91</v>
      </c>
      <c r="AQ312">
        <v>49.648369000000002</v>
      </c>
    </row>
    <row r="313" spans="1:43" x14ac:dyDescent="0.25">
      <c r="A313">
        <v>312</v>
      </c>
      <c r="B313" t="s">
        <v>71</v>
      </c>
      <c r="C313" t="s">
        <v>72</v>
      </c>
      <c r="D313" t="s">
        <v>73</v>
      </c>
      <c r="E313" t="s">
        <v>74</v>
      </c>
      <c r="F313">
        <v>240436362</v>
      </c>
      <c r="G313">
        <v>6591437</v>
      </c>
      <c r="H313" t="s">
        <v>241</v>
      </c>
      <c r="I313" t="s">
        <v>76</v>
      </c>
      <c r="J313" t="s">
        <v>241</v>
      </c>
      <c r="K313" t="s">
        <v>553</v>
      </c>
      <c r="L313" t="s">
        <v>285</v>
      </c>
      <c r="M313" t="s">
        <v>285</v>
      </c>
      <c r="N313" t="s">
        <v>286</v>
      </c>
      <c r="O313" t="s">
        <v>132</v>
      </c>
      <c r="P313" t="s">
        <v>77</v>
      </c>
      <c r="Q313" t="s">
        <v>166</v>
      </c>
      <c r="R313" t="s">
        <v>167</v>
      </c>
      <c r="S313" t="s">
        <v>105</v>
      </c>
      <c r="T313">
        <v>41201</v>
      </c>
      <c r="U313" t="s">
        <v>85</v>
      </c>
      <c r="V313">
        <v>51201</v>
      </c>
      <c r="W313" t="s">
        <v>81</v>
      </c>
      <c r="X313">
        <v>240436362</v>
      </c>
      <c r="Y313" t="s">
        <v>74</v>
      </c>
      <c r="Z313">
        <v>1</v>
      </c>
      <c r="AA313" t="s">
        <v>123</v>
      </c>
      <c r="AB313">
        <v>196</v>
      </c>
      <c r="AC313">
        <v>0</v>
      </c>
      <c r="AD313">
        <v>0</v>
      </c>
      <c r="AE313">
        <v>196</v>
      </c>
      <c r="AF313">
        <v>196</v>
      </c>
      <c r="AG313">
        <v>71.989999999999995</v>
      </c>
      <c r="AH313">
        <v>71.989999999999995</v>
      </c>
      <c r="AI313">
        <v>124.01</v>
      </c>
      <c r="AJ313">
        <v>124.01</v>
      </c>
      <c r="AK313">
        <v>63.27</v>
      </c>
      <c r="AL313">
        <v>-29.4</v>
      </c>
      <c r="AM313">
        <v>196</v>
      </c>
      <c r="AN313">
        <v>-29.4</v>
      </c>
      <c r="AO313">
        <v>94.61</v>
      </c>
      <c r="AP313">
        <v>94.61</v>
      </c>
      <c r="AQ313">
        <v>56.788715000000003</v>
      </c>
    </row>
    <row r="314" spans="1:43" x14ac:dyDescent="0.25">
      <c r="A314">
        <v>313</v>
      </c>
      <c r="B314" t="s">
        <v>71</v>
      </c>
      <c r="C314" t="s">
        <v>72</v>
      </c>
      <c r="D314" t="s">
        <v>73</v>
      </c>
      <c r="E314" t="s">
        <v>74</v>
      </c>
      <c r="F314">
        <v>240436362</v>
      </c>
      <c r="G314">
        <v>6591437</v>
      </c>
      <c r="H314" t="s">
        <v>241</v>
      </c>
      <c r="I314" t="s">
        <v>76</v>
      </c>
      <c r="J314" t="s">
        <v>241</v>
      </c>
      <c r="K314" t="s">
        <v>553</v>
      </c>
      <c r="L314" t="s">
        <v>285</v>
      </c>
      <c r="M314" t="s">
        <v>285</v>
      </c>
      <c r="N314" t="s">
        <v>286</v>
      </c>
      <c r="O314" t="s">
        <v>132</v>
      </c>
      <c r="P314" t="s">
        <v>77</v>
      </c>
      <c r="Q314" t="s">
        <v>78</v>
      </c>
      <c r="R314" t="s">
        <v>143</v>
      </c>
      <c r="S314" t="s">
        <v>79</v>
      </c>
      <c r="T314">
        <v>43201</v>
      </c>
      <c r="U314" t="s">
        <v>129</v>
      </c>
      <c r="V314">
        <v>51201</v>
      </c>
      <c r="W314" t="s">
        <v>81</v>
      </c>
      <c r="X314">
        <v>240436362</v>
      </c>
      <c r="Y314" t="s">
        <v>74</v>
      </c>
      <c r="Z314">
        <v>0</v>
      </c>
      <c r="AA314" t="s">
        <v>123</v>
      </c>
      <c r="AB314">
        <v>29.4</v>
      </c>
      <c r="AC314">
        <v>0</v>
      </c>
      <c r="AD314">
        <v>0</v>
      </c>
      <c r="AE314">
        <v>29.4</v>
      </c>
      <c r="AF314">
        <v>-29.4</v>
      </c>
      <c r="AG314">
        <v>0</v>
      </c>
      <c r="AH314">
        <v>0</v>
      </c>
      <c r="AI314">
        <v>29.4</v>
      </c>
      <c r="AJ314">
        <v>-29.4</v>
      </c>
      <c r="AK314">
        <v>0</v>
      </c>
      <c r="AL314">
        <v>-29.4</v>
      </c>
      <c r="AM314">
        <v>196</v>
      </c>
      <c r="AN314">
        <v>0</v>
      </c>
      <c r="AO314">
        <v>0</v>
      </c>
      <c r="AP314">
        <v>0</v>
      </c>
      <c r="AQ314">
        <v>0</v>
      </c>
    </row>
    <row r="315" spans="1:43" x14ac:dyDescent="0.25">
      <c r="A315">
        <v>314</v>
      </c>
      <c r="B315" t="s">
        <v>71</v>
      </c>
      <c r="C315" t="s">
        <v>72</v>
      </c>
      <c r="D315" t="s">
        <v>73</v>
      </c>
      <c r="E315" t="s">
        <v>74</v>
      </c>
      <c r="F315">
        <v>240436498</v>
      </c>
      <c r="G315">
        <v>6591573</v>
      </c>
      <c r="H315" t="s">
        <v>241</v>
      </c>
      <c r="I315" t="s">
        <v>76</v>
      </c>
      <c r="J315" t="s">
        <v>241</v>
      </c>
      <c r="K315" t="s">
        <v>554</v>
      </c>
      <c r="L315" t="s">
        <v>285</v>
      </c>
      <c r="M315" t="s">
        <v>285</v>
      </c>
      <c r="N315" t="s">
        <v>286</v>
      </c>
      <c r="O315" t="s">
        <v>10</v>
      </c>
      <c r="P315" t="s">
        <v>77</v>
      </c>
      <c r="Q315" t="s">
        <v>231</v>
      </c>
      <c r="R315" t="s">
        <v>232</v>
      </c>
      <c r="S315" t="s">
        <v>105</v>
      </c>
      <c r="T315">
        <v>41201</v>
      </c>
      <c r="U315" t="s">
        <v>85</v>
      </c>
      <c r="V315">
        <v>51201</v>
      </c>
      <c r="W315" t="s">
        <v>81</v>
      </c>
      <c r="X315">
        <v>240436498</v>
      </c>
      <c r="Y315" t="s">
        <v>74</v>
      </c>
      <c r="Z315">
        <v>1</v>
      </c>
      <c r="AA315" t="s">
        <v>152</v>
      </c>
      <c r="AB315">
        <v>69.3</v>
      </c>
      <c r="AC315">
        <v>69.3</v>
      </c>
      <c r="AD315">
        <v>1.76</v>
      </c>
      <c r="AE315">
        <v>121.97</v>
      </c>
      <c r="AF315">
        <v>121.97</v>
      </c>
      <c r="AG315">
        <v>34.36</v>
      </c>
      <c r="AH315">
        <v>34.36</v>
      </c>
      <c r="AI315">
        <v>87.61</v>
      </c>
      <c r="AJ315">
        <v>87.61</v>
      </c>
      <c r="AK315">
        <v>71.83</v>
      </c>
      <c r="AL315">
        <v>0</v>
      </c>
      <c r="AM315">
        <v>121.97</v>
      </c>
      <c r="AN315">
        <v>0</v>
      </c>
      <c r="AO315">
        <v>87.61</v>
      </c>
      <c r="AP315">
        <v>87.61</v>
      </c>
      <c r="AQ315">
        <v>71.829138</v>
      </c>
    </row>
    <row r="316" spans="1:43" x14ac:dyDescent="0.25">
      <c r="A316">
        <v>315</v>
      </c>
      <c r="B316" t="s">
        <v>71</v>
      </c>
      <c r="C316" t="s">
        <v>72</v>
      </c>
      <c r="D316" t="s">
        <v>73</v>
      </c>
      <c r="E316" t="s">
        <v>74</v>
      </c>
      <c r="F316">
        <v>240437214</v>
      </c>
      <c r="G316">
        <v>6592316</v>
      </c>
      <c r="H316" t="s">
        <v>109</v>
      </c>
      <c r="I316" t="s">
        <v>76</v>
      </c>
      <c r="J316" t="s">
        <v>109</v>
      </c>
      <c r="K316" t="s">
        <v>555</v>
      </c>
      <c r="L316" t="s">
        <v>285</v>
      </c>
      <c r="M316" t="s">
        <v>285</v>
      </c>
      <c r="N316" t="s">
        <v>286</v>
      </c>
      <c r="O316" t="s">
        <v>132</v>
      </c>
      <c r="P316" t="s">
        <v>77</v>
      </c>
      <c r="Q316" t="s">
        <v>280</v>
      </c>
      <c r="R316" t="s">
        <v>281</v>
      </c>
      <c r="S316" t="s">
        <v>105</v>
      </c>
      <c r="T316">
        <v>41201</v>
      </c>
      <c r="U316" t="s">
        <v>85</v>
      </c>
      <c r="V316">
        <v>51201</v>
      </c>
      <c r="W316" t="s">
        <v>81</v>
      </c>
      <c r="X316">
        <v>240437214</v>
      </c>
      <c r="Y316" t="s">
        <v>74</v>
      </c>
      <c r="Z316">
        <v>1</v>
      </c>
      <c r="AA316" t="s">
        <v>123</v>
      </c>
      <c r="AB316">
        <v>234.24</v>
      </c>
      <c r="AC316">
        <v>0</v>
      </c>
      <c r="AD316">
        <v>0</v>
      </c>
      <c r="AE316">
        <v>234.24</v>
      </c>
      <c r="AF316">
        <v>234.24</v>
      </c>
      <c r="AG316">
        <v>113.21</v>
      </c>
      <c r="AH316">
        <v>113.21</v>
      </c>
      <c r="AI316">
        <v>121.03</v>
      </c>
      <c r="AJ316">
        <v>121.03</v>
      </c>
      <c r="AK316">
        <v>51.67</v>
      </c>
      <c r="AL316">
        <v>-71.400000000000006</v>
      </c>
      <c r="AM316">
        <v>476</v>
      </c>
      <c r="AN316">
        <v>-35.14</v>
      </c>
      <c r="AO316">
        <v>85.89</v>
      </c>
      <c r="AP316">
        <v>85.89</v>
      </c>
      <c r="AQ316">
        <v>43.139125999999997</v>
      </c>
    </row>
    <row r="317" spans="1:43" x14ac:dyDescent="0.25">
      <c r="A317">
        <v>316</v>
      </c>
      <c r="B317" t="s">
        <v>71</v>
      </c>
      <c r="C317" t="s">
        <v>72</v>
      </c>
      <c r="D317" t="s">
        <v>73</v>
      </c>
      <c r="E317" t="s">
        <v>74</v>
      </c>
      <c r="F317">
        <v>240437214</v>
      </c>
      <c r="G317">
        <v>6592316</v>
      </c>
      <c r="H317" t="s">
        <v>109</v>
      </c>
      <c r="I317" t="s">
        <v>76</v>
      </c>
      <c r="J317" t="s">
        <v>109</v>
      </c>
      <c r="K317" t="s">
        <v>555</v>
      </c>
      <c r="L317" t="s">
        <v>285</v>
      </c>
      <c r="M317" t="s">
        <v>285</v>
      </c>
      <c r="N317" t="s">
        <v>286</v>
      </c>
      <c r="O317" t="s">
        <v>132</v>
      </c>
      <c r="P317" t="s">
        <v>77</v>
      </c>
      <c r="Q317" t="s">
        <v>242</v>
      </c>
      <c r="R317" t="s">
        <v>243</v>
      </c>
      <c r="S317" t="s">
        <v>105</v>
      </c>
      <c r="T317">
        <v>41201</v>
      </c>
      <c r="U317" t="s">
        <v>85</v>
      </c>
      <c r="V317">
        <v>51201</v>
      </c>
      <c r="W317" t="s">
        <v>81</v>
      </c>
      <c r="X317">
        <v>240437214</v>
      </c>
      <c r="Y317" t="s">
        <v>74</v>
      </c>
      <c r="Z317">
        <v>1</v>
      </c>
      <c r="AA317" t="s">
        <v>123</v>
      </c>
      <c r="AB317">
        <v>241.76</v>
      </c>
      <c r="AC317">
        <v>0</v>
      </c>
      <c r="AD317">
        <v>0</v>
      </c>
      <c r="AE317">
        <v>241.76</v>
      </c>
      <c r="AF317">
        <v>241.76</v>
      </c>
      <c r="AG317">
        <v>111.52</v>
      </c>
      <c r="AH317">
        <v>111.52</v>
      </c>
      <c r="AI317">
        <v>130.24</v>
      </c>
      <c r="AJ317">
        <v>130.24</v>
      </c>
      <c r="AK317">
        <v>53.87</v>
      </c>
      <c r="AL317">
        <v>-71.400000000000006</v>
      </c>
      <c r="AM317">
        <v>476</v>
      </c>
      <c r="AN317">
        <v>-36.26</v>
      </c>
      <c r="AO317">
        <v>93.98</v>
      </c>
      <c r="AP317">
        <v>93.98</v>
      </c>
      <c r="AQ317">
        <v>45.73236</v>
      </c>
    </row>
    <row r="318" spans="1:43" x14ac:dyDescent="0.25">
      <c r="A318">
        <v>317</v>
      </c>
      <c r="B318" t="s">
        <v>71</v>
      </c>
      <c r="C318" t="s">
        <v>72</v>
      </c>
      <c r="D318" t="s">
        <v>73</v>
      </c>
      <c r="E318" t="s">
        <v>74</v>
      </c>
      <c r="F318">
        <v>240437214</v>
      </c>
      <c r="G318">
        <v>6592316</v>
      </c>
      <c r="H318" t="s">
        <v>109</v>
      </c>
      <c r="I318" t="s">
        <v>76</v>
      </c>
      <c r="J318" t="s">
        <v>109</v>
      </c>
      <c r="K318" t="s">
        <v>555</v>
      </c>
      <c r="L318" t="s">
        <v>285</v>
      </c>
      <c r="M318" t="s">
        <v>285</v>
      </c>
      <c r="N318" t="s">
        <v>286</v>
      </c>
      <c r="O318" t="s">
        <v>132</v>
      </c>
      <c r="P318" t="s">
        <v>77</v>
      </c>
      <c r="Q318" t="s">
        <v>78</v>
      </c>
      <c r="R318" t="s">
        <v>143</v>
      </c>
      <c r="S318" t="s">
        <v>79</v>
      </c>
      <c r="T318">
        <v>43201</v>
      </c>
      <c r="U318" t="s">
        <v>129</v>
      </c>
      <c r="V318">
        <v>51201</v>
      </c>
      <c r="W318" t="s">
        <v>81</v>
      </c>
      <c r="X318">
        <v>240437214</v>
      </c>
      <c r="Y318" t="s">
        <v>74</v>
      </c>
      <c r="Z318">
        <v>0</v>
      </c>
      <c r="AA318" t="s">
        <v>123</v>
      </c>
      <c r="AB318">
        <v>71.400000000000006</v>
      </c>
      <c r="AC318">
        <v>0</v>
      </c>
      <c r="AD318">
        <v>0</v>
      </c>
      <c r="AE318">
        <v>71.400000000000006</v>
      </c>
      <c r="AF318">
        <v>-71.400000000000006</v>
      </c>
      <c r="AG318">
        <v>0</v>
      </c>
      <c r="AH318">
        <v>0</v>
      </c>
      <c r="AI318">
        <v>71.400000000000006</v>
      </c>
      <c r="AJ318">
        <v>-71.400000000000006</v>
      </c>
      <c r="AK318">
        <v>0</v>
      </c>
      <c r="AL318">
        <v>-71.400000000000006</v>
      </c>
      <c r="AM318">
        <v>476</v>
      </c>
      <c r="AN318">
        <v>0</v>
      </c>
      <c r="AO318">
        <v>0</v>
      </c>
      <c r="AP318">
        <v>0</v>
      </c>
      <c r="AQ318">
        <v>0</v>
      </c>
    </row>
    <row r="319" spans="1:43" x14ac:dyDescent="0.25">
      <c r="A319">
        <v>318</v>
      </c>
      <c r="B319" t="s">
        <v>71</v>
      </c>
      <c r="C319" t="s">
        <v>72</v>
      </c>
      <c r="D319" t="s">
        <v>73</v>
      </c>
      <c r="E319" t="s">
        <v>74</v>
      </c>
      <c r="F319">
        <v>240437783</v>
      </c>
      <c r="G319">
        <v>6592887</v>
      </c>
      <c r="H319" t="s">
        <v>109</v>
      </c>
      <c r="I319" t="s">
        <v>76</v>
      </c>
      <c r="J319" t="s">
        <v>109</v>
      </c>
      <c r="K319" t="s">
        <v>556</v>
      </c>
      <c r="L319" t="s">
        <v>285</v>
      </c>
      <c r="M319" t="s">
        <v>285</v>
      </c>
      <c r="N319" t="s">
        <v>286</v>
      </c>
      <c r="O319" t="s">
        <v>10</v>
      </c>
      <c r="P319" t="s">
        <v>77</v>
      </c>
      <c r="Q319" t="s">
        <v>78</v>
      </c>
      <c r="R319" t="s">
        <v>143</v>
      </c>
      <c r="S319" t="s">
        <v>79</v>
      </c>
      <c r="T319">
        <v>43201</v>
      </c>
      <c r="U319" t="s">
        <v>129</v>
      </c>
      <c r="V319">
        <v>51201</v>
      </c>
      <c r="W319" t="s">
        <v>81</v>
      </c>
      <c r="X319">
        <v>240437783</v>
      </c>
      <c r="Y319" t="s">
        <v>74</v>
      </c>
      <c r="Z319">
        <v>0</v>
      </c>
      <c r="AA319" t="s">
        <v>152</v>
      </c>
      <c r="AB319">
        <v>26.73</v>
      </c>
      <c r="AC319">
        <v>-26.73</v>
      </c>
      <c r="AD319">
        <v>1.76</v>
      </c>
      <c r="AE319">
        <v>47.04</v>
      </c>
      <c r="AF319">
        <v>-47.04</v>
      </c>
      <c r="AG319">
        <v>0</v>
      </c>
      <c r="AH319">
        <v>0</v>
      </c>
      <c r="AI319">
        <v>47.04</v>
      </c>
      <c r="AJ319">
        <v>-47.04</v>
      </c>
      <c r="AK319">
        <v>0</v>
      </c>
      <c r="AL319">
        <v>-47.04</v>
      </c>
      <c r="AM319">
        <v>313.63</v>
      </c>
      <c r="AN319">
        <v>0</v>
      </c>
      <c r="AO319">
        <v>0</v>
      </c>
      <c r="AP319">
        <v>0</v>
      </c>
      <c r="AQ319">
        <v>0</v>
      </c>
    </row>
    <row r="320" spans="1:43" x14ac:dyDescent="0.25">
      <c r="A320">
        <v>319</v>
      </c>
      <c r="B320" t="s">
        <v>71</v>
      </c>
      <c r="C320" t="s">
        <v>72</v>
      </c>
      <c r="D320" t="s">
        <v>73</v>
      </c>
      <c r="E320" t="s">
        <v>74</v>
      </c>
      <c r="F320">
        <v>240437783</v>
      </c>
      <c r="G320">
        <v>6592887</v>
      </c>
      <c r="H320" t="s">
        <v>109</v>
      </c>
      <c r="I320" t="s">
        <v>76</v>
      </c>
      <c r="J320" t="s">
        <v>109</v>
      </c>
      <c r="K320" t="s">
        <v>556</v>
      </c>
      <c r="L320" t="s">
        <v>285</v>
      </c>
      <c r="M320" t="s">
        <v>285</v>
      </c>
      <c r="N320" t="s">
        <v>286</v>
      </c>
      <c r="O320" t="s">
        <v>10</v>
      </c>
      <c r="P320" t="s">
        <v>77</v>
      </c>
      <c r="Q320" t="s">
        <v>193</v>
      </c>
      <c r="R320" t="s">
        <v>194</v>
      </c>
      <c r="S320" t="s">
        <v>84</v>
      </c>
      <c r="T320">
        <v>41201</v>
      </c>
      <c r="U320" t="s">
        <v>85</v>
      </c>
      <c r="V320">
        <v>51201</v>
      </c>
      <c r="W320" t="s">
        <v>81</v>
      </c>
      <c r="X320">
        <v>240437783</v>
      </c>
      <c r="Y320" t="s">
        <v>74</v>
      </c>
      <c r="Z320">
        <v>1</v>
      </c>
      <c r="AA320" t="s">
        <v>152</v>
      </c>
      <c r="AB320">
        <v>178.2</v>
      </c>
      <c r="AC320">
        <v>178.2</v>
      </c>
      <c r="AD320">
        <v>1.76</v>
      </c>
      <c r="AE320">
        <v>313.63</v>
      </c>
      <c r="AF320">
        <v>313.63</v>
      </c>
      <c r="AG320">
        <v>141.02000000000001</v>
      </c>
      <c r="AH320">
        <v>141.02000000000001</v>
      </c>
      <c r="AI320">
        <v>172.61</v>
      </c>
      <c r="AJ320">
        <v>172.61</v>
      </c>
      <c r="AK320">
        <v>55.04</v>
      </c>
      <c r="AL320">
        <v>-47.04</v>
      </c>
      <c r="AM320">
        <v>313.63</v>
      </c>
      <c r="AN320">
        <v>-47.04</v>
      </c>
      <c r="AO320">
        <v>125.57</v>
      </c>
      <c r="AP320">
        <v>125.57</v>
      </c>
      <c r="AQ320">
        <v>47.102291000000001</v>
      </c>
    </row>
    <row r="321" spans="1:43" x14ac:dyDescent="0.25">
      <c r="A321">
        <v>320</v>
      </c>
      <c r="B321" t="s">
        <v>71</v>
      </c>
      <c r="C321" t="s">
        <v>72</v>
      </c>
      <c r="D321" t="s">
        <v>73</v>
      </c>
      <c r="E321" t="s">
        <v>74</v>
      </c>
      <c r="F321">
        <v>240437906</v>
      </c>
      <c r="G321">
        <v>6593010</v>
      </c>
      <c r="H321" t="s">
        <v>109</v>
      </c>
      <c r="I321" t="s">
        <v>76</v>
      </c>
      <c r="J321" t="s">
        <v>109</v>
      </c>
      <c r="K321" t="s">
        <v>557</v>
      </c>
      <c r="L321" t="s">
        <v>285</v>
      </c>
      <c r="M321" t="s">
        <v>285</v>
      </c>
      <c r="N321" t="s">
        <v>286</v>
      </c>
      <c r="O321" t="s">
        <v>132</v>
      </c>
      <c r="P321" t="s">
        <v>77</v>
      </c>
      <c r="Q321" t="s">
        <v>78</v>
      </c>
      <c r="R321" t="s">
        <v>143</v>
      </c>
      <c r="S321" t="s">
        <v>79</v>
      </c>
      <c r="T321">
        <v>43201</v>
      </c>
      <c r="U321" t="s">
        <v>129</v>
      </c>
      <c r="V321">
        <v>51201</v>
      </c>
      <c r="W321" t="s">
        <v>81</v>
      </c>
      <c r="X321">
        <v>240437906</v>
      </c>
      <c r="Y321" t="s">
        <v>74</v>
      </c>
      <c r="Z321">
        <v>0</v>
      </c>
      <c r="AA321" t="s">
        <v>123</v>
      </c>
      <c r="AB321">
        <v>153.9</v>
      </c>
      <c r="AC321">
        <v>0</v>
      </c>
      <c r="AD321">
        <v>0</v>
      </c>
      <c r="AE321">
        <v>153.9</v>
      </c>
      <c r="AF321">
        <v>-153.9</v>
      </c>
      <c r="AG321">
        <v>0</v>
      </c>
      <c r="AH321">
        <v>0</v>
      </c>
      <c r="AI321">
        <v>153.9</v>
      </c>
      <c r="AJ321">
        <v>-153.9</v>
      </c>
      <c r="AK321">
        <v>0</v>
      </c>
      <c r="AL321">
        <v>-153.9</v>
      </c>
      <c r="AM321">
        <v>1026</v>
      </c>
      <c r="AN321">
        <v>0</v>
      </c>
      <c r="AO321">
        <v>0</v>
      </c>
      <c r="AP321">
        <v>0</v>
      </c>
      <c r="AQ321">
        <v>0</v>
      </c>
    </row>
    <row r="322" spans="1:43" x14ac:dyDescent="0.25">
      <c r="A322">
        <v>321</v>
      </c>
      <c r="B322" t="s">
        <v>71</v>
      </c>
      <c r="C322" t="s">
        <v>72</v>
      </c>
      <c r="D322" t="s">
        <v>73</v>
      </c>
      <c r="E322" t="s">
        <v>74</v>
      </c>
      <c r="F322">
        <v>240437906</v>
      </c>
      <c r="G322">
        <v>6593010</v>
      </c>
      <c r="H322" t="s">
        <v>109</v>
      </c>
      <c r="I322" t="s">
        <v>76</v>
      </c>
      <c r="J322" t="s">
        <v>109</v>
      </c>
      <c r="K322" t="s">
        <v>557</v>
      </c>
      <c r="L322" t="s">
        <v>285</v>
      </c>
      <c r="M322" t="s">
        <v>285</v>
      </c>
      <c r="N322" t="s">
        <v>286</v>
      </c>
      <c r="O322" t="s">
        <v>132</v>
      </c>
      <c r="P322" t="s">
        <v>77</v>
      </c>
      <c r="Q322" t="s">
        <v>208</v>
      </c>
      <c r="R322" t="s">
        <v>209</v>
      </c>
      <c r="S322" t="s">
        <v>84</v>
      </c>
      <c r="T322">
        <v>41201</v>
      </c>
      <c r="U322" t="s">
        <v>85</v>
      </c>
      <c r="V322">
        <v>51201</v>
      </c>
      <c r="W322" t="s">
        <v>81</v>
      </c>
      <c r="X322">
        <v>240437906</v>
      </c>
      <c r="Y322" t="s">
        <v>74</v>
      </c>
      <c r="Z322">
        <v>1</v>
      </c>
      <c r="AA322" t="s">
        <v>123</v>
      </c>
      <c r="AB322">
        <v>1026</v>
      </c>
      <c r="AC322">
        <v>0</v>
      </c>
      <c r="AD322">
        <v>0</v>
      </c>
      <c r="AE322">
        <v>1026</v>
      </c>
      <c r="AF322">
        <v>1026</v>
      </c>
      <c r="AG322">
        <v>575.05999999999995</v>
      </c>
      <c r="AH322">
        <v>575.05999999999995</v>
      </c>
      <c r="AI322">
        <v>450.94</v>
      </c>
      <c r="AJ322">
        <v>450.94</v>
      </c>
      <c r="AK322">
        <v>43.95</v>
      </c>
      <c r="AL322">
        <v>-153.9</v>
      </c>
      <c r="AM322">
        <v>1026</v>
      </c>
      <c r="AN322">
        <v>-153.9</v>
      </c>
      <c r="AO322">
        <v>297.04000000000002</v>
      </c>
      <c r="AP322">
        <v>297.04000000000002</v>
      </c>
      <c r="AQ322">
        <v>34.060313999999998</v>
      </c>
    </row>
    <row r="323" spans="1:43" x14ac:dyDescent="0.25">
      <c r="A323">
        <v>322</v>
      </c>
      <c r="B323" t="s">
        <v>71</v>
      </c>
      <c r="C323" t="s">
        <v>72</v>
      </c>
      <c r="D323" t="s">
        <v>73</v>
      </c>
      <c r="E323" t="s">
        <v>74</v>
      </c>
      <c r="F323">
        <v>240438308</v>
      </c>
      <c r="G323">
        <v>6593412</v>
      </c>
      <c r="H323" t="s">
        <v>109</v>
      </c>
      <c r="I323" t="s">
        <v>76</v>
      </c>
      <c r="J323" t="s">
        <v>109</v>
      </c>
      <c r="K323" t="s">
        <v>558</v>
      </c>
      <c r="L323" t="s">
        <v>285</v>
      </c>
      <c r="M323" t="s">
        <v>285</v>
      </c>
      <c r="N323" t="s">
        <v>286</v>
      </c>
      <c r="O323" t="s">
        <v>10</v>
      </c>
      <c r="P323" t="s">
        <v>77</v>
      </c>
      <c r="Q323" t="s">
        <v>78</v>
      </c>
      <c r="R323" t="s">
        <v>143</v>
      </c>
      <c r="S323" t="s">
        <v>79</v>
      </c>
      <c r="T323">
        <v>43201</v>
      </c>
      <c r="U323" t="s">
        <v>129</v>
      </c>
      <c r="V323">
        <v>51201</v>
      </c>
      <c r="W323" t="s">
        <v>81</v>
      </c>
      <c r="X323">
        <v>240438308</v>
      </c>
      <c r="Y323" t="s">
        <v>74</v>
      </c>
      <c r="Z323">
        <v>0</v>
      </c>
      <c r="AA323" t="s">
        <v>152</v>
      </c>
      <c r="AB323">
        <v>56.72</v>
      </c>
      <c r="AC323">
        <v>-56.72</v>
      </c>
      <c r="AD323">
        <v>1.76</v>
      </c>
      <c r="AE323">
        <v>99.83</v>
      </c>
      <c r="AF323">
        <v>-99.83</v>
      </c>
      <c r="AG323">
        <v>0</v>
      </c>
      <c r="AH323">
        <v>0</v>
      </c>
      <c r="AI323">
        <v>99.83</v>
      </c>
      <c r="AJ323">
        <v>-99.83</v>
      </c>
      <c r="AK323">
        <v>0</v>
      </c>
      <c r="AL323">
        <v>-99.83</v>
      </c>
      <c r="AM323">
        <v>665.46</v>
      </c>
      <c r="AN323">
        <v>0</v>
      </c>
      <c r="AO323">
        <v>0</v>
      </c>
      <c r="AP323">
        <v>0</v>
      </c>
      <c r="AQ323">
        <v>0</v>
      </c>
    </row>
    <row r="324" spans="1:43" x14ac:dyDescent="0.25">
      <c r="A324">
        <v>323</v>
      </c>
      <c r="B324" t="s">
        <v>71</v>
      </c>
      <c r="C324" t="s">
        <v>72</v>
      </c>
      <c r="D324" t="s">
        <v>73</v>
      </c>
      <c r="E324" t="s">
        <v>74</v>
      </c>
      <c r="F324">
        <v>240438308</v>
      </c>
      <c r="G324">
        <v>6593412</v>
      </c>
      <c r="H324" t="s">
        <v>109</v>
      </c>
      <c r="I324" t="s">
        <v>76</v>
      </c>
      <c r="J324" t="s">
        <v>109</v>
      </c>
      <c r="K324" t="s">
        <v>558</v>
      </c>
      <c r="L324" t="s">
        <v>285</v>
      </c>
      <c r="M324" t="s">
        <v>285</v>
      </c>
      <c r="N324" t="s">
        <v>286</v>
      </c>
      <c r="O324" t="s">
        <v>10</v>
      </c>
      <c r="P324" t="s">
        <v>77</v>
      </c>
      <c r="Q324" t="s">
        <v>191</v>
      </c>
      <c r="R324" t="s">
        <v>192</v>
      </c>
      <c r="S324" t="s">
        <v>105</v>
      </c>
      <c r="T324">
        <v>41201</v>
      </c>
      <c r="U324" t="s">
        <v>85</v>
      </c>
      <c r="V324">
        <v>51201</v>
      </c>
      <c r="W324" t="s">
        <v>81</v>
      </c>
      <c r="X324">
        <v>240438308</v>
      </c>
      <c r="Y324" t="s">
        <v>74</v>
      </c>
      <c r="Z324">
        <v>2</v>
      </c>
      <c r="AA324" t="s">
        <v>152</v>
      </c>
      <c r="AB324">
        <v>189.05</v>
      </c>
      <c r="AC324">
        <v>378.1</v>
      </c>
      <c r="AD324">
        <v>1.76</v>
      </c>
      <c r="AE324">
        <v>332.73</v>
      </c>
      <c r="AF324">
        <v>665.46</v>
      </c>
      <c r="AG324">
        <v>135.04</v>
      </c>
      <c r="AH324">
        <v>270.08</v>
      </c>
      <c r="AI324">
        <v>197.69</v>
      </c>
      <c r="AJ324">
        <v>395.38</v>
      </c>
      <c r="AK324">
        <v>59.41</v>
      </c>
      <c r="AL324">
        <v>-99.83</v>
      </c>
      <c r="AM324">
        <v>665.46</v>
      </c>
      <c r="AN324">
        <v>-99.83</v>
      </c>
      <c r="AO324">
        <v>147.77500000000001</v>
      </c>
      <c r="AP324">
        <v>295.55</v>
      </c>
      <c r="AQ324">
        <v>52.251471000000002</v>
      </c>
    </row>
    <row r="325" spans="1:43" x14ac:dyDescent="0.25">
      <c r="A325">
        <v>324</v>
      </c>
      <c r="B325" t="s">
        <v>71</v>
      </c>
      <c r="C325" t="s">
        <v>72</v>
      </c>
      <c r="D325" t="s">
        <v>73</v>
      </c>
      <c r="E325" t="s">
        <v>74</v>
      </c>
      <c r="F325">
        <v>240438561</v>
      </c>
      <c r="G325">
        <v>6593665</v>
      </c>
      <c r="H325" t="s">
        <v>109</v>
      </c>
      <c r="I325" t="s">
        <v>76</v>
      </c>
      <c r="J325" t="s">
        <v>109</v>
      </c>
      <c r="K325" t="s">
        <v>559</v>
      </c>
      <c r="L325" t="s">
        <v>285</v>
      </c>
      <c r="M325" t="s">
        <v>285</v>
      </c>
      <c r="N325" t="s">
        <v>286</v>
      </c>
      <c r="O325" t="s">
        <v>130</v>
      </c>
      <c r="P325" t="s">
        <v>77</v>
      </c>
      <c r="Q325" t="s">
        <v>78</v>
      </c>
      <c r="R325" t="s">
        <v>143</v>
      </c>
      <c r="S325" t="s">
        <v>79</v>
      </c>
      <c r="T325">
        <v>43201</v>
      </c>
      <c r="U325" t="s">
        <v>129</v>
      </c>
      <c r="V325">
        <v>51201</v>
      </c>
      <c r="W325" t="s">
        <v>81</v>
      </c>
      <c r="X325">
        <v>240438561</v>
      </c>
      <c r="Y325" t="s">
        <v>74</v>
      </c>
      <c r="Z325">
        <v>0</v>
      </c>
      <c r="AA325" t="s">
        <v>147</v>
      </c>
      <c r="AB325">
        <v>6.6</v>
      </c>
      <c r="AC325">
        <v>-6.6</v>
      </c>
      <c r="AD325">
        <v>5.83</v>
      </c>
      <c r="AE325">
        <v>38.479999999999997</v>
      </c>
      <c r="AF325">
        <v>-38.479999999999997</v>
      </c>
      <c r="AG325">
        <v>0</v>
      </c>
      <c r="AH325">
        <v>0</v>
      </c>
      <c r="AI325">
        <v>38.479999999999997</v>
      </c>
      <c r="AJ325">
        <v>-38.479999999999997</v>
      </c>
      <c r="AK325">
        <v>0</v>
      </c>
      <c r="AL325">
        <v>-38.479999999999997</v>
      </c>
      <c r="AM325">
        <v>256.52</v>
      </c>
      <c r="AN325">
        <v>0</v>
      </c>
      <c r="AO325">
        <v>0</v>
      </c>
      <c r="AP325">
        <v>0</v>
      </c>
      <c r="AQ325">
        <v>0</v>
      </c>
    </row>
    <row r="326" spans="1:43" x14ac:dyDescent="0.25">
      <c r="A326">
        <v>325</v>
      </c>
      <c r="B326" t="s">
        <v>71</v>
      </c>
      <c r="C326" t="s">
        <v>72</v>
      </c>
      <c r="D326" t="s">
        <v>73</v>
      </c>
      <c r="E326" t="s">
        <v>74</v>
      </c>
      <c r="F326">
        <v>240438561</v>
      </c>
      <c r="G326">
        <v>6593665</v>
      </c>
      <c r="H326" t="s">
        <v>109</v>
      </c>
      <c r="I326" t="s">
        <v>76</v>
      </c>
      <c r="J326" t="s">
        <v>109</v>
      </c>
      <c r="K326" t="s">
        <v>559</v>
      </c>
      <c r="L326" t="s">
        <v>285</v>
      </c>
      <c r="M326" t="s">
        <v>285</v>
      </c>
      <c r="N326" t="s">
        <v>286</v>
      </c>
      <c r="O326" t="s">
        <v>130</v>
      </c>
      <c r="P326" t="s">
        <v>77</v>
      </c>
      <c r="Q326" t="s">
        <v>89</v>
      </c>
      <c r="R326" t="s">
        <v>377</v>
      </c>
      <c r="S326" t="s">
        <v>84</v>
      </c>
      <c r="T326">
        <v>41201</v>
      </c>
      <c r="U326" t="s">
        <v>85</v>
      </c>
      <c r="V326">
        <v>51201</v>
      </c>
      <c r="W326" t="s">
        <v>81</v>
      </c>
      <c r="X326">
        <v>240438561</v>
      </c>
      <c r="Y326" t="s">
        <v>74</v>
      </c>
      <c r="Z326">
        <v>1</v>
      </c>
      <c r="AA326" t="s">
        <v>147</v>
      </c>
      <c r="AB326">
        <v>44</v>
      </c>
      <c r="AC326">
        <v>44</v>
      </c>
      <c r="AD326">
        <v>5.83</v>
      </c>
      <c r="AE326">
        <v>256.52</v>
      </c>
      <c r="AF326">
        <v>256.52</v>
      </c>
      <c r="AG326">
        <v>80</v>
      </c>
      <c r="AH326">
        <v>80</v>
      </c>
      <c r="AI326">
        <v>176.52</v>
      </c>
      <c r="AJ326">
        <v>176.52</v>
      </c>
      <c r="AK326">
        <v>68.81</v>
      </c>
      <c r="AL326">
        <v>-38.479999999999997</v>
      </c>
      <c r="AM326">
        <v>256.52</v>
      </c>
      <c r="AN326">
        <v>-38.479999999999997</v>
      </c>
      <c r="AO326">
        <v>138.04</v>
      </c>
      <c r="AP326">
        <v>138.04</v>
      </c>
      <c r="AQ326">
        <v>63.309483999999998</v>
      </c>
    </row>
    <row r="327" spans="1:43" x14ac:dyDescent="0.25">
      <c r="A327">
        <v>326</v>
      </c>
      <c r="B327" t="s">
        <v>71</v>
      </c>
      <c r="C327" t="s">
        <v>72</v>
      </c>
      <c r="D327" t="s">
        <v>73</v>
      </c>
      <c r="E327" t="s">
        <v>74</v>
      </c>
      <c r="F327">
        <v>240439276</v>
      </c>
      <c r="G327">
        <v>6594380</v>
      </c>
      <c r="H327" t="s">
        <v>109</v>
      </c>
      <c r="I327" t="s">
        <v>76</v>
      </c>
      <c r="J327" t="s">
        <v>109</v>
      </c>
      <c r="K327" t="s">
        <v>560</v>
      </c>
      <c r="L327" t="s">
        <v>285</v>
      </c>
      <c r="M327" t="s">
        <v>285</v>
      </c>
      <c r="N327" t="s">
        <v>286</v>
      </c>
      <c r="O327" t="s">
        <v>130</v>
      </c>
      <c r="P327" t="s">
        <v>77</v>
      </c>
      <c r="Q327" t="s">
        <v>198</v>
      </c>
      <c r="R327" t="s">
        <v>199</v>
      </c>
      <c r="S327" t="s">
        <v>84</v>
      </c>
      <c r="T327">
        <v>41201</v>
      </c>
      <c r="U327" t="s">
        <v>85</v>
      </c>
      <c r="V327">
        <v>51201</v>
      </c>
      <c r="W327" t="s">
        <v>81</v>
      </c>
      <c r="X327">
        <v>240439276</v>
      </c>
      <c r="Y327" t="s">
        <v>74</v>
      </c>
      <c r="Z327">
        <v>6</v>
      </c>
      <c r="AA327" t="s">
        <v>147</v>
      </c>
      <c r="AB327">
        <v>8.5</v>
      </c>
      <c r="AC327">
        <v>51</v>
      </c>
      <c r="AD327">
        <v>5.83</v>
      </c>
      <c r="AE327">
        <v>49.555</v>
      </c>
      <c r="AF327">
        <v>297.33</v>
      </c>
      <c r="AG327">
        <v>16</v>
      </c>
      <c r="AH327">
        <v>96</v>
      </c>
      <c r="AI327">
        <v>33.56</v>
      </c>
      <c r="AJ327">
        <v>201.33</v>
      </c>
      <c r="AK327">
        <v>67.709999999999994</v>
      </c>
      <c r="AL327">
        <v>-44.6</v>
      </c>
      <c r="AM327">
        <v>297.33</v>
      </c>
      <c r="AN327">
        <v>-44.6</v>
      </c>
      <c r="AO327">
        <v>26.121666000000001</v>
      </c>
      <c r="AP327">
        <v>156.72999999999999</v>
      </c>
      <c r="AQ327">
        <v>62.014797999999999</v>
      </c>
    </row>
    <row r="328" spans="1:43" x14ac:dyDescent="0.25">
      <c r="A328">
        <v>327</v>
      </c>
      <c r="B328" t="s">
        <v>71</v>
      </c>
      <c r="C328" t="s">
        <v>72</v>
      </c>
      <c r="D328" t="s">
        <v>73</v>
      </c>
      <c r="E328" t="s">
        <v>74</v>
      </c>
      <c r="F328">
        <v>240439276</v>
      </c>
      <c r="G328">
        <v>6594380</v>
      </c>
      <c r="H328" t="s">
        <v>109</v>
      </c>
      <c r="I328" t="s">
        <v>76</v>
      </c>
      <c r="J328" t="s">
        <v>109</v>
      </c>
      <c r="K328" t="s">
        <v>560</v>
      </c>
      <c r="L328" t="s">
        <v>285</v>
      </c>
      <c r="M328" t="s">
        <v>285</v>
      </c>
      <c r="N328" t="s">
        <v>286</v>
      </c>
      <c r="O328" t="s">
        <v>130</v>
      </c>
      <c r="P328" t="s">
        <v>77</v>
      </c>
      <c r="Q328" t="s">
        <v>78</v>
      </c>
      <c r="R328" t="s">
        <v>143</v>
      </c>
      <c r="S328" t="s">
        <v>79</v>
      </c>
      <c r="T328">
        <v>43201</v>
      </c>
      <c r="U328" t="s">
        <v>129</v>
      </c>
      <c r="V328">
        <v>51201</v>
      </c>
      <c r="W328" t="s">
        <v>81</v>
      </c>
      <c r="X328">
        <v>240439276</v>
      </c>
      <c r="Y328" t="s">
        <v>74</v>
      </c>
      <c r="Z328">
        <v>0</v>
      </c>
      <c r="AA328" t="s">
        <v>147</v>
      </c>
      <c r="AB328">
        <v>7.65</v>
      </c>
      <c r="AC328">
        <v>-7.65</v>
      </c>
      <c r="AD328">
        <v>5.83</v>
      </c>
      <c r="AE328">
        <v>44.6</v>
      </c>
      <c r="AF328">
        <v>-44.6</v>
      </c>
      <c r="AG328">
        <v>0</v>
      </c>
      <c r="AH328">
        <v>0</v>
      </c>
      <c r="AI328">
        <v>44.6</v>
      </c>
      <c r="AJ328">
        <v>-44.6</v>
      </c>
      <c r="AK328">
        <v>0</v>
      </c>
      <c r="AL328">
        <v>-44.6</v>
      </c>
      <c r="AM328">
        <v>297.33</v>
      </c>
      <c r="AN328">
        <v>0</v>
      </c>
      <c r="AO328">
        <v>0</v>
      </c>
      <c r="AP328">
        <v>0</v>
      </c>
      <c r="AQ328">
        <v>0</v>
      </c>
    </row>
    <row r="329" spans="1:43" x14ac:dyDescent="0.25">
      <c r="A329">
        <v>328</v>
      </c>
      <c r="B329" t="s">
        <v>71</v>
      </c>
      <c r="C329" t="s">
        <v>72</v>
      </c>
      <c r="D329" t="s">
        <v>73</v>
      </c>
      <c r="E329" t="s">
        <v>74</v>
      </c>
      <c r="F329">
        <v>240440088</v>
      </c>
      <c r="G329">
        <v>6595202</v>
      </c>
      <c r="H329" t="s">
        <v>244</v>
      </c>
      <c r="I329" t="s">
        <v>76</v>
      </c>
      <c r="J329" t="s">
        <v>244</v>
      </c>
      <c r="K329" t="s">
        <v>561</v>
      </c>
      <c r="L329" t="s">
        <v>285</v>
      </c>
      <c r="M329" t="s">
        <v>285</v>
      </c>
      <c r="N329" t="s">
        <v>286</v>
      </c>
      <c r="O329" t="s">
        <v>10</v>
      </c>
      <c r="P329" t="s">
        <v>77</v>
      </c>
      <c r="Q329" t="s">
        <v>237</v>
      </c>
      <c r="R329" t="s">
        <v>173</v>
      </c>
      <c r="S329" t="s">
        <v>84</v>
      </c>
      <c r="T329">
        <v>41201</v>
      </c>
      <c r="U329" t="s">
        <v>85</v>
      </c>
      <c r="V329">
        <v>51201</v>
      </c>
      <c r="W329" t="s">
        <v>81</v>
      </c>
      <c r="X329">
        <v>240440088</v>
      </c>
      <c r="Y329" t="s">
        <v>74</v>
      </c>
      <c r="Z329">
        <v>1</v>
      </c>
      <c r="AA329" t="s">
        <v>152</v>
      </c>
      <c r="AB329">
        <v>203</v>
      </c>
      <c r="AC329">
        <v>203</v>
      </c>
      <c r="AD329">
        <v>1.76</v>
      </c>
      <c r="AE329">
        <v>357.28</v>
      </c>
      <c r="AF329">
        <v>357.28</v>
      </c>
      <c r="AG329">
        <v>140.93</v>
      </c>
      <c r="AH329">
        <v>140.93</v>
      </c>
      <c r="AI329">
        <v>216.35</v>
      </c>
      <c r="AJ329">
        <v>216.35</v>
      </c>
      <c r="AK329">
        <v>60.55</v>
      </c>
      <c r="AL329">
        <v>-53.59</v>
      </c>
      <c r="AM329">
        <v>357.28</v>
      </c>
      <c r="AN329">
        <v>-53.59</v>
      </c>
      <c r="AO329">
        <v>162.76</v>
      </c>
      <c r="AP329">
        <v>162.76</v>
      </c>
      <c r="AQ329">
        <v>53.594124999999998</v>
      </c>
    </row>
    <row r="330" spans="1:43" x14ac:dyDescent="0.25">
      <c r="A330">
        <v>329</v>
      </c>
      <c r="B330" t="s">
        <v>71</v>
      </c>
      <c r="C330" t="s">
        <v>72</v>
      </c>
      <c r="D330" t="s">
        <v>73</v>
      </c>
      <c r="E330" t="s">
        <v>74</v>
      </c>
      <c r="F330">
        <v>240440088</v>
      </c>
      <c r="G330">
        <v>6595202</v>
      </c>
      <c r="H330" t="s">
        <v>244</v>
      </c>
      <c r="I330" t="s">
        <v>76</v>
      </c>
      <c r="J330" t="s">
        <v>244</v>
      </c>
      <c r="K330" t="s">
        <v>561</v>
      </c>
      <c r="L330" t="s">
        <v>285</v>
      </c>
      <c r="M330" t="s">
        <v>285</v>
      </c>
      <c r="N330" t="s">
        <v>286</v>
      </c>
      <c r="O330" t="s">
        <v>10</v>
      </c>
      <c r="P330" t="s">
        <v>77</v>
      </c>
      <c r="Q330" t="s">
        <v>78</v>
      </c>
      <c r="R330" t="s">
        <v>143</v>
      </c>
      <c r="S330" t="s">
        <v>79</v>
      </c>
      <c r="T330">
        <v>43201</v>
      </c>
      <c r="U330" t="s">
        <v>129</v>
      </c>
      <c r="V330">
        <v>51201</v>
      </c>
      <c r="W330" t="s">
        <v>81</v>
      </c>
      <c r="X330">
        <v>240440088</v>
      </c>
      <c r="Y330" t="s">
        <v>74</v>
      </c>
      <c r="Z330">
        <v>0</v>
      </c>
      <c r="AA330" t="s">
        <v>152</v>
      </c>
      <c r="AB330">
        <v>30.45</v>
      </c>
      <c r="AC330">
        <v>-30.45</v>
      </c>
      <c r="AD330">
        <v>1.76</v>
      </c>
      <c r="AE330">
        <v>53.59</v>
      </c>
      <c r="AF330">
        <v>-53.59</v>
      </c>
      <c r="AG330">
        <v>0</v>
      </c>
      <c r="AH330">
        <v>0</v>
      </c>
      <c r="AI330">
        <v>53.59</v>
      </c>
      <c r="AJ330">
        <v>-53.59</v>
      </c>
      <c r="AK330">
        <v>0</v>
      </c>
      <c r="AL330">
        <v>-53.59</v>
      </c>
      <c r="AM330">
        <v>357.28</v>
      </c>
      <c r="AN330">
        <v>0</v>
      </c>
      <c r="AO330">
        <v>0</v>
      </c>
      <c r="AP330">
        <v>0</v>
      </c>
      <c r="AQ330">
        <v>0</v>
      </c>
    </row>
    <row r="331" spans="1:43" x14ac:dyDescent="0.25">
      <c r="A331">
        <v>330</v>
      </c>
      <c r="B331" t="s">
        <v>71</v>
      </c>
      <c r="C331" t="s">
        <v>72</v>
      </c>
      <c r="D331" t="s">
        <v>73</v>
      </c>
      <c r="E331" t="s">
        <v>74</v>
      </c>
      <c r="F331">
        <v>240440231</v>
      </c>
      <c r="G331">
        <v>6595345</v>
      </c>
      <c r="H331" t="s">
        <v>244</v>
      </c>
      <c r="I331" t="s">
        <v>76</v>
      </c>
      <c r="J331" t="s">
        <v>244</v>
      </c>
      <c r="K331" t="s">
        <v>562</v>
      </c>
      <c r="L331" t="s">
        <v>285</v>
      </c>
      <c r="M331" t="s">
        <v>285</v>
      </c>
      <c r="N331" t="s">
        <v>286</v>
      </c>
      <c r="O331" t="s">
        <v>10</v>
      </c>
      <c r="P331" t="s">
        <v>77</v>
      </c>
      <c r="Q331" t="s">
        <v>354</v>
      </c>
      <c r="R331" t="s">
        <v>355</v>
      </c>
      <c r="S331" t="s">
        <v>84</v>
      </c>
      <c r="T331">
        <v>41201</v>
      </c>
      <c r="U331" t="s">
        <v>85</v>
      </c>
      <c r="V331">
        <v>51201</v>
      </c>
      <c r="W331" t="s">
        <v>81</v>
      </c>
      <c r="X331">
        <v>240440231</v>
      </c>
      <c r="Y331" t="s">
        <v>74</v>
      </c>
      <c r="Z331">
        <v>1</v>
      </c>
      <c r="AA331" t="s">
        <v>152</v>
      </c>
      <c r="AB331">
        <v>108.9</v>
      </c>
      <c r="AC331">
        <v>108.9</v>
      </c>
      <c r="AD331">
        <v>1.76</v>
      </c>
      <c r="AE331">
        <v>191.66</v>
      </c>
      <c r="AF331">
        <v>191.66</v>
      </c>
      <c r="AG331">
        <v>65.91</v>
      </c>
      <c r="AH331">
        <v>65.91</v>
      </c>
      <c r="AI331">
        <v>125.75</v>
      </c>
      <c r="AJ331">
        <v>125.75</v>
      </c>
      <c r="AK331">
        <v>65.61</v>
      </c>
      <c r="AL331">
        <v>0</v>
      </c>
      <c r="AM331">
        <v>339.85</v>
      </c>
      <c r="AN331">
        <v>0</v>
      </c>
      <c r="AO331">
        <v>125.75</v>
      </c>
      <c r="AP331">
        <v>125.75</v>
      </c>
      <c r="AQ331">
        <v>65.610977000000005</v>
      </c>
    </row>
    <row r="332" spans="1:43" x14ac:dyDescent="0.25">
      <c r="A332">
        <v>331</v>
      </c>
      <c r="B332" t="s">
        <v>71</v>
      </c>
      <c r="C332" t="s">
        <v>72</v>
      </c>
      <c r="D332" t="s">
        <v>73</v>
      </c>
      <c r="E332" t="s">
        <v>74</v>
      </c>
      <c r="F332">
        <v>240440231</v>
      </c>
      <c r="G332">
        <v>6595345</v>
      </c>
      <c r="H332" t="s">
        <v>244</v>
      </c>
      <c r="I332" t="s">
        <v>76</v>
      </c>
      <c r="J332" t="s">
        <v>244</v>
      </c>
      <c r="K332" t="s">
        <v>562</v>
      </c>
      <c r="L332" t="s">
        <v>285</v>
      </c>
      <c r="M332" t="s">
        <v>285</v>
      </c>
      <c r="N332" t="s">
        <v>286</v>
      </c>
      <c r="O332" t="s">
        <v>10</v>
      </c>
      <c r="P332" t="s">
        <v>77</v>
      </c>
      <c r="Q332" t="s">
        <v>235</v>
      </c>
      <c r="R332" t="s">
        <v>236</v>
      </c>
      <c r="S332" t="s">
        <v>84</v>
      </c>
      <c r="T332">
        <v>41201</v>
      </c>
      <c r="U332" t="s">
        <v>85</v>
      </c>
      <c r="V332">
        <v>51201</v>
      </c>
      <c r="W332" t="s">
        <v>81</v>
      </c>
      <c r="X332">
        <v>240440231</v>
      </c>
      <c r="Y332" t="s">
        <v>74</v>
      </c>
      <c r="Z332">
        <v>1</v>
      </c>
      <c r="AA332" t="s">
        <v>152</v>
      </c>
      <c r="AB332">
        <v>84.2</v>
      </c>
      <c r="AC332">
        <v>84.2</v>
      </c>
      <c r="AD332">
        <v>1.76</v>
      </c>
      <c r="AE332">
        <v>148.19</v>
      </c>
      <c r="AF332">
        <v>148.19</v>
      </c>
      <c r="AG332">
        <v>61</v>
      </c>
      <c r="AH332">
        <v>61</v>
      </c>
      <c r="AI332">
        <v>87.19</v>
      </c>
      <c r="AJ332">
        <v>87.19</v>
      </c>
      <c r="AK332">
        <v>58.84</v>
      </c>
      <c r="AL332">
        <v>0</v>
      </c>
      <c r="AM332">
        <v>339.85</v>
      </c>
      <c r="AN332">
        <v>0</v>
      </c>
      <c r="AO332">
        <v>87.19</v>
      </c>
      <c r="AP332">
        <v>87.19</v>
      </c>
      <c r="AQ332">
        <v>58.836627999999997</v>
      </c>
    </row>
    <row r="333" spans="1:43" x14ac:dyDescent="0.25">
      <c r="A333">
        <v>332</v>
      </c>
      <c r="B333" t="s">
        <v>71</v>
      </c>
      <c r="C333" t="s">
        <v>72</v>
      </c>
      <c r="D333" t="s">
        <v>73</v>
      </c>
      <c r="E333" t="s">
        <v>74</v>
      </c>
      <c r="F333">
        <v>240440232</v>
      </c>
      <c r="G333">
        <v>6595346</v>
      </c>
      <c r="H333" t="s">
        <v>244</v>
      </c>
      <c r="I333" t="s">
        <v>76</v>
      </c>
      <c r="J333" t="s">
        <v>244</v>
      </c>
      <c r="K333" t="s">
        <v>563</v>
      </c>
      <c r="L333" t="s">
        <v>285</v>
      </c>
      <c r="M333" t="s">
        <v>285</v>
      </c>
      <c r="N333" t="s">
        <v>286</v>
      </c>
      <c r="O333" t="s">
        <v>10</v>
      </c>
      <c r="P333" t="s">
        <v>77</v>
      </c>
      <c r="Q333" t="s">
        <v>200</v>
      </c>
      <c r="R333" t="s">
        <v>201</v>
      </c>
      <c r="S333" t="s">
        <v>84</v>
      </c>
      <c r="T333">
        <v>41201</v>
      </c>
      <c r="U333" t="s">
        <v>85</v>
      </c>
      <c r="V333">
        <v>51201</v>
      </c>
      <c r="W333" t="s">
        <v>81</v>
      </c>
      <c r="X333">
        <v>240440232</v>
      </c>
      <c r="Y333" t="s">
        <v>74</v>
      </c>
      <c r="Z333">
        <v>1</v>
      </c>
      <c r="AA333" t="s">
        <v>152</v>
      </c>
      <c r="AB333">
        <v>84.2</v>
      </c>
      <c r="AC333">
        <v>84.2</v>
      </c>
      <c r="AD333">
        <v>1.76</v>
      </c>
      <c r="AE333">
        <v>148.19</v>
      </c>
      <c r="AF333">
        <v>148.19</v>
      </c>
      <c r="AG333">
        <v>45.95</v>
      </c>
      <c r="AH333">
        <v>45.95</v>
      </c>
      <c r="AI333">
        <v>102.24</v>
      </c>
      <c r="AJ333">
        <v>102.24</v>
      </c>
      <c r="AK333">
        <v>68.989999999999995</v>
      </c>
      <c r="AL333">
        <v>0</v>
      </c>
      <c r="AM333">
        <v>148.19</v>
      </c>
      <c r="AN333">
        <v>0</v>
      </c>
      <c r="AO333">
        <v>102.24</v>
      </c>
      <c r="AP333">
        <v>102.24</v>
      </c>
      <c r="AQ333">
        <v>68.992508999999998</v>
      </c>
    </row>
    <row r="334" spans="1:43" x14ac:dyDescent="0.25">
      <c r="A334">
        <v>333</v>
      </c>
      <c r="B334" t="s">
        <v>71</v>
      </c>
      <c r="C334" t="s">
        <v>72</v>
      </c>
      <c r="D334" t="s">
        <v>73</v>
      </c>
      <c r="E334" t="s">
        <v>74</v>
      </c>
      <c r="F334">
        <v>240440814</v>
      </c>
      <c r="G334">
        <v>6595928</v>
      </c>
      <c r="H334" t="s">
        <v>244</v>
      </c>
      <c r="I334" t="s">
        <v>76</v>
      </c>
      <c r="J334" t="s">
        <v>244</v>
      </c>
      <c r="K334" t="s">
        <v>564</v>
      </c>
      <c r="L334" t="s">
        <v>285</v>
      </c>
      <c r="M334" t="s">
        <v>285</v>
      </c>
      <c r="N334" t="s">
        <v>286</v>
      </c>
      <c r="O334" t="s">
        <v>10</v>
      </c>
      <c r="P334" t="s">
        <v>77</v>
      </c>
      <c r="Q334" t="s">
        <v>239</v>
      </c>
      <c r="R334" t="s">
        <v>240</v>
      </c>
      <c r="S334" t="s">
        <v>135</v>
      </c>
      <c r="T334">
        <v>41201</v>
      </c>
      <c r="U334" t="s">
        <v>85</v>
      </c>
      <c r="V334">
        <v>51201</v>
      </c>
      <c r="W334" t="s">
        <v>81</v>
      </c>
      <c r="X334">
        <v>240440814</v>
      </c>
      <c r="Y334" t="s">
        <v>74</v>
      </c>
      <c r="Z334">
        <v>1</v>
      </c>
      <c r="AA334" t="s">
        <v>152</v>
      </c>
      <c r="AB334">
        <v>252.5</v>
      </c>
      <c r="AC334">
        <v>252.5</v>
      </c>
      <c r="AD334">
        <v>1.76</v>
      </c>
      <c r="AE334">
        <v>444.4</v>
      </c>
      <c r="AF334">
        <v>444.4</v>
      </c>
      <c r="AG334">
        <v>190.77</v>
      </c>
      <c r="AH334">
        <v>190.77</v>
      </c>
      <c r="AI334">
        <v>253.63</v>
      </c>
      <c r="AJ334">
        <v>253.63</v>
      </c>
      <c r="AK334">
        <v>57.07</v>
      </c>
      <c r="AL334">
        <v>-66.67</v>
      </c>
      <c r="AM334">
        <v>444.4</v>
      </c>
      <c r="AN334">
        <v>-66.67</v>
      </c>
      <c r="AO334">
        <v>186.96</v>
      </c>
      <c r="AP334">
        <v>186.96</v>
      </c>
      <c r="AQ334">
        <v>49.495671000000002</v>
      </c>
    </row>
    <row r="335" spans="1:43" x14ac:dyDescent="0.25">
      <c r="A335">
        <v>334</v>
      </c>
      <c r="B335" t="s">
        <v>71</v>
      </c>
      <c r="C335" t="s">
        <v>72</v>
      </c>
      <c r="D335" t="s">
        <v>73</v>
      </c>
      <c r="E335" t="s">
        <v>74</v>
      </c>
      <c r="F335">
        <v>240440814</v>
      </c>
      <c r="G335">
        <v>6595928</v>
      </c>
      <c r="H335" t="s">
        <v>244</v>
      </c>
      <c r="I335" t="s">
        <v>76</v>
      </c>
      <c r="J335" t="s">
        <v>244</v>
      </c>
      <c r="K335" t="s">
        <v>564</v>
      </c>
      <c r="L335" t="s">
        <v>285</v>
      </c>
      <c r="M335" t="s">
        <v>285</v>
      </c>
      <c r="N335" t="s">
        <v>286</v>
      </c>
      <c r="O335" t="s">
        <v>10</v>
      </c>
      <c r="P335" t="s">
        <v>77</v>
      </c>
      <c r="Q335" t="s">
        <v>78</v>
      </c>
      <c r="R335" t="s">
        <v>143</v>
      </c>
      <c r="S335" t="s">
        <v>79</v>
      </c>
      <c r="T335">
        <v>43201</v>
      </c>
      <c r="U335" t="s">
        <v>129</v>
      </c>
      <c r="V335">
        <v>51201</v>
      </c>
      <c r="W335" t="s">
        <v>81</v>
      </c>
      <c r="X335">
        <v>240440814</v>
      </c>
      <c r="Y335" t="s">
        <v>74</v>
      </c>
      <c r="Z335">
        <v>0</v>
      </c>
      <c r="AA335" t="s">
        <v>152</v>
      </c>
      <c r="AB335">
        <v>37.880000000000003</v>
      </c>
      <c r="AC335">
        <v>-37.880000000000003</v>
      </c>
      <c r="AD335">
        <v>1.76</v>
      </c>
      <c r="AE335">
        <v>66.67</v>
      </c>
      <c r="AF335">
        <v>-66.67</v>
      </c>
      <c r="AG335">
        <v>0</v>
      </c>
      <c r="AH335">
        <v>0</v>
      </c>
      <c r="AI335">
        <v>66.67</v>
      </c>
      <c r="AJ335">
        <v>-66.67</v>
      </c>
      <c r="AK335">
        <v>0</v>
      </c>
      <c r="AL335">
        <v>-66.67</v>
      </c>
      <c r="AM335">
        <v>444.4</v>
      </c>
      <c r="AN335">
        <v>0</v>
      </c>
      <c r="AO335">
        <v>0</v>
      </c>
      <c r="AP335">
        <v>0</v>
      </c>
      <c r="AQ335">
        <v>0</v>
      </c>
    </row>
    <row r="336" spans="1:43" x14ac:dyDescent="0.25">
      <c r="A336">
        <v>335</v>
      </c>
      <c r="B336" t="s">
        <v>71</v>
      </c>
      <c r="C336" t="s">
        <v>72</v>
      </c>
      <c r="D336" t="s">
        <v>73</v>
      </c>
      <c r="E336" t="s">
        <v>74</v>
      </c>
      <c r="F336">
        <v>240442499</v>
      </c>
      <c r="G336">
        <v>6597641</v>
      </c>
      <c r="H336" t="s">
        <v>113</v>
      </c>
      <c r="I336" t="s">
        <v>76</v>
      </c>
      <c r="J336" t="s">
        <v>113</v>
      </c>
      <c r="K336" t="s">
        <v>565</v>
      </c>
      <c r="L336" t="s">
        <v>285</v>
      </c>
      <c r="M336" t="s">
        <v>285</v>
      </c>
      <c r="N336" t="s">
        <v>286</v>
      </c>
      <c r="O336" t="s">
        <v>132</v>
      </c>
      <c r="P336" t="s">
        <v>77</v>
      </c>
      <c r="Q336" t="s">
        <v>78</v>
      </c>
      <c r="R336" t="s">
        <v>143</v>
      </c>
      <c r="S336" t="s">
        <v>79</v>
      </c>
      <c r="T336">
        <v>43201</v>
      </c>
      <c r="U336" t="s">
        <v>129</v>
      </c>
      <c r="V336">
        <v>51201</v>
      </c>
      <c r="W336" t="s">
        <v>81</v>
      </c>
      <c r="X336">
        <v>240442499</v>
      </c>
      <c r="Y336" t="s">
        <v>74</v>
      </c>
      <c r="Z336">
        <v>0</v>
      </c>
      <c r="AA336" t="s">
        <v>123</v>
      </c>
      <c r="AB336">
        <v>40.799999999999997</v>
      </c>
      <c r="AC336">
        <v>0</v>
      </c>
      <c r="AD336">
        <v>0</v>
      </c>
      <c r="AE336">
        <v>40.799999999999997</v>
      </c>
      <c r="AF336">
        <v>-40.799999999999997</v>
      </c>
      <c r="AG336">
        <v>0</v>
      </c>
      <c r="AH336">
        <v>0</v>
      </c>
      <c r="AI336">
        <v>40.799999999999997</v>
      </c>
      <c r="AJ336">
        <v>-40.799999999999997</v>
      </c>
      <c r="AK336">
        <v>0</v>
      </c>
      <c r="AL336">
        <v>-40.799999999999997</v>
      </c>
      <c r="AM336">
        <v>272</v>
      </c>
      <c r="AN336">
        <v>0</v>
      </c>
      <c r="AO336">
        <v>0</v>
      </c>
      <c r="AP336">
        <v>0</v>
      </c>
      <c r="AQ336">
        <v>0</v>
      </c>
    </row>
    <row r="337" spans="1:43" x14ac:dyDescent="0.25">
      <c r="A337">
        <v>336</v>
      </c>
      <c r="B337" t="s">
        <v>71</v>
      </c>
      <c r="C337" t="s">
        <v>72</v>
      </c>
      <c r="D337" t="s">
        <v>73</v>
      </c>
      <c r="E337" t="s">
        <v>74</v>
      </c>
      <c r="F337">
        <v>240442499</v>
      </c>
      <c r="G337">
        <v>6597641</v>
      </c>
      <c r="H337" t="s">
        <v>113</v>
      </c>
      <c r="I337" t="s">
        <v>76</v>
      </c>
      <c r="J337" t="s">
        <v>113</v>
      </c>
      <c r="K337" t="s">
        <v>565</v>
      </c>
      <c r="L337" t="s">
        <v>285</v>
      </c>
      <c r="M337" t="s">
        <v>285</v>
      </c>
      <c r="N337" t="s">
        <v>286</v>
      </c>
      <c r="O337" t="s">
        <v>132</v>
      </c>
      <c r="P337" t="s">
        <v>77</v>
      </c>
      <c r="Q337" t="s">
        <v>280</v>
      </c>
      <c r="R337" t="s">
        <v>281</v>
      </c>
      <c r="S337" t="s">
        <v>105</v>
      </c>
      <c r="T337">
        <v>41201</v>
      </c>
      <c r="U337" t="s">
        <v>85</v>
      </c>
      <c r="V337">
        <v>51201</v>
      </c>
      <c r="W337" t="s">
        <v>81</v>
      </c>
      <c r="X337">
        <v>240442499</v>
      </c>
      <c r="Y337" t="s">
        <v>74</v>
      </c>
      <c r="Z337">
        <v>1</v>
      </c>
      <c r="AA337" t="s">
        <v>123</v>
      </c>
      <c r="AB337">
        <v>272</v>
      </c>
      <c r="AC337">
        <v>0</v>
      </c>
      <c r="AD337">
        <v>0</v>
      </c>
      <c r="AE337">
        <v>272</v>
      </c>
      <c r="AF337">
        <v>272</v>
      </c>
      <c r="AG337">
        <v>113.21</v>
      </c>
      <c r="AH337">
        <v>113.21</v>
      </c>
      <c r="AI337">
        <v>158.79</v>
      </c>
      <c r="AJ337">
        <v>158.79</v>
      </c>
      <c r="AK337">
        <v>58.38</v>
      </c>
      <c r="AL337">
        <v>-40.799999999999997</v>
      </c>
      <c r="AM337">
        <v>272</v>
      </c>
      <c r="AN337">
        <v>-40.799999999999997</v>
      </c>
      <c r="AO337">
        <v>117.99</v>
      </c>
      <c r="AP337">
        <v>117.99</v>
      </c>
      <c r="AQ337">
        <v>51.033737000000002</v>
      </c>
    </row>
    <row r="338" spans="1:43" x14ac:dyDescent="0.25">
      <c r="A338">
        <v>337</v>
      </c>
      <c r="B338" t="s">
        <v>71</v>
      </c>
      <c r="C338" t="s">
        <v>72</v>
      </c>
      <c r="D338" t="s">
        <v>73</v>
      </c>
      <c r="E338" t="s">
        <v>74</v>
      </c>
      <c r="F338">
        <v>240442540</v>
      </c>
      <c r="G338">
        <v>6597683</v>
      </c>
      <c r="H338" t="s">
        <v>113</v>
      </c>
      <c r="I338" t="s">
        <v>76</v>
      </c>
      <c r="J338" t="s">
        <v>113</v>
      </c>
      <c r="K338" t="s">
        <v>566</v>
      </c>
      <c r="L338" t="s">
        <v>285</v>
      </c>
      <c r="M338" t="s">
        <v>285</v>
      </c>
      <c r="N338" t="s">
        <v>286</v>
      </c>
      <c r="O338" t="s">
        <v>10</v>
      </c>
      <c r="P338" t="s">
        <v>77</v>
      </c>
      <c r="Q338" t="s">
        <v>170</v>
      </c>
      <c r="R338" t="s">
        <v>171</v>
      </c>
      <c r="S338" t="s">
        <v>84</v>
      </c>
      <c r="T338">
        <v>41201</v>
      </c>
      <c r="U338" t="s">
        <v>85</v>
      </c>
      <c r="V338">
        <v>51201</v>
      </c>
      <c r="W338" t="s">
        <v>81</v>
      </c>
      <c r="X338">
        <v>240442540</v>
      </c>
      <c r="Y338" t="s">
        <v>74</v>
      </c>
      <c r="Z338">
        <v>2</v>
      </c>
      <c r="AA338" t="s">
        <v>152</v>
      </c>
      <c r="AB338">
        <v>131.19999999999999</v>
      </c>
      <c r="AC338">
        <v>262.39999999999998</v>
      </c>
      <c r="AD338">
        <v>1.76</v>
      </c>
      <c r="AE338">
        <v>230.91</v>
      </c>
      <c r="AF338">
        <v>461.82</v>
      </c>
      <c r="AG338">
        <v>85</v>
      </c>
      <c r="AH338">
        <v>170</v>
      </c>
      <c r="AI338">
        <v>145.91</v>
      </c>
      <c r="AJ338">
        <v>291.82</v>
      </c>
      <c r="AK338">
        <v>63.19</v>
      </c>
      <c r="AL338">
        <v>-69.27</v>
      </c>
      <c r="AM338">
        <v>461.82</v>
      </c>
      <c r="AN338">
        <v>-69.27</v>
      </c>
      <c r="AO338">
        <v>111.27500000000001</v>
      </c>
      <c r="AP338">
        <v>222.55</v>
      </c>
      <c r="AQ338">
        <v>56.693413999999997</v>
      </c>
    </row>
    <row r="339" spans="1:43" x14ac:dyDescent="0.25">
      <c r="A339">
        <v>338</v>
      </c>
      <c r="B339" t="s">
        <v>71</v>
      </c>
      <c r="C339" t="s">
        <v>72</v>
      </c>
      <c r="D339" t="s">
        <v>73</v>
      </c>
      <c r="E339" t="s">
        <v>74</v>
      </c>
      <c r="F339">
        <v>240442540</v>
      </c>
      <c r="G339">
        <v>6597683</v>
      </c>
      <c r="H339" t="s">
        <v>113</v>
      </c>
      <c r="I339" t="s">
        <v>76</v>
      </c>
      <c r="J339" t="s">
        <v>113</v>
      </c>
      <c r="K339" t="s">
        <v>566</v>
      </c>
      <c r="L339" t="s">
        <v>285</v>
      </c>
      <c r="M339" t="s">
        <v>285</v>
      </c>
      <c r="N339" t="s">
        <v>286</v>
      </c>
      <c r="O339" t="s">
        <v>10</v>
      </c>
      <c r="P339" t="s">
        <v>77</v>
      </c>
      <c r="Q339" t="s">
        <v>78</v>
      </c>
      <c r="R339" t="s">
        <v>143</v>
      </c>
      <c r="S339" t="s">
        <v>79</v>
      </c>
      <c r="T339">
        <v>43201</v>
      </c>
      <c r="U339" t="s">
        <v>129</v>
      </c>
      <c r="V339">
        <v>51201</v>
      </c>
      <c r="W339" t="s">
        <v>81</v>
      </c>
      <c r="X339">
        <v>240442540</v>
      </c>
      <c r="Y339" t="s">
        <v>74</v>
      </c>
      <c r="Z339">
        <v>0</v>
      </c>
      <c r="AA339" t="s">
        <v>152</v>
      </c>
      <c r="AB339">
        <v>39.36</v>
      </c>
      <c r="AC339">
        <v>-39.36</v>
      </c>
      <c r="AD339">
        <v>1.76</v>
      </c>
      <c r="AE339">
        <v>69.27</v>
      </c>
      <c r="AF339">
        <v>-69.27</v>
      </c>
      <c r="AG339">
        <v>0</v>
      </c>
      <c r="AH339">
        <v>0</v>
      </c>
      <c r="AI339">
        <v>69.27</v>
      </c>
      <c r="AJ339">
        <v>-69.27</v>
      </c>
      <c r="AK339">
        <v>0</v>
      </c>
      <c r="AL339">
        <v>-69.27</v>
      </c>
      <c r="AM339">
        <v>461.82</v>
      </c>
      <c r="AN339">
        <v>0</v>
      </c>
      <c r="AO339">
        <v>0</v>
      </c>
      <c r="AP339">
        <v>0</v>
      </c>
      <c r="AQ339">
        <v>0</v>
      </c>
    </row>
    <row r="340" spans="1:43" x14ac:dyDescent="0.25">
      <c r="A340">
        <v>339</v>
      </c>
      <c r="B340" t="s">
        <v>71</v>
      </c>
      <c r="C340" t="s">
        <v>72</v>
      </c>
      <c r="D340" t="s">
        <v>73</v>
      </c>
      <c r="E340" t="s">
        <v>74</v>
      </c>
      <c r="F340">
        <v>240442541</v>
      </c>
      <c r="G340">
        <v>6597684</v>
      </c>
      <c r="H340" t="s">
        <v>113</v>
      </c>
      <c r="I340" t="s">
        <v>76</v>
      </c>
      <c r="J340" t="s">
        <v>113</v>
      </c>
      <c r="K340" t="s">
        <v>567</v>
      </c>
      <c r="L340" t="s">
        <v>285</v>
      </c>
      <c r="M340" t="s">
        <v>285</v>
      </c>
      <c r="N340" t="s">
        <v>286</v>
      </c>
      <c r="O340" t="s">
        <v>10</v>
      </c>
      <c r="P340" t="s">
        <v>77</v>
      </c>
      <c r="Q340" t="s">
        <v>212</v>
      </c>
      <c r="R340" t="s">
        <v>213</v>
      </c>
      <c r="S340" t="s">
        <v>105</v>
      </c>
      <c r="T340">
        <v>41201</v>
      </c>
      <c r="U340" t="s">
        <v>85</v>
      </c>
      <c r="V340">
        <v>51201</v>
      </c>
      <c r="W340" t="s">
        <v>81</v>
      </c>
      <c r="X340">
        <v>240442541</v>
      </c>
      <c r="Y340" t="s">
        <v>74</v>
      </c>
      <c r="Z340">
        <v>2</v>
      </c>
      <c r="AA340" t="s">
        <v>152</v>
      </c>
      <c r="AB340">
        <v>146.05000000000001</v>
      </c>
      <c r="AC340">
        <v>292.10000000000002</v>
      </c>
      <c r="AD340">
        <v>1.76</v>
      </c>
      <c r="AE340">
        <v>257.05</v>
      </c>
      <c r="AF340">
        <v>514.1</v>
      </c>
      <c r="AG340">
        <v>128</v>
      </c>
      <c r="AH340">
        <v>256</v>
      </c>
      <c r="AI340">
        <v>129.05000000000001</v>
      </c>
      <c r="AJ340">
        <v>258.10000000000002</v>
      </c>
      <c r="AK340">
        <v>50.2</v>
      </c>
      <c r="AL340">
        <v>0</v>
      </c>
      <c r="AM340">
        <v>514.1</v>
      </c>
      <c r="AN340">
        <v>0</v>
      </c>
      <c r="AO340">
        <v>129.05000000000001</v>
      </c>
      <c r="AP340">
        <v>258.10000000000002</v>
      </c>
      <c r="AQ340">
        <v>50.204239999999999</v>
      </c>
    </row>
    <row r="341" spans="1:43" x14ac:dyDescent="0.25">
      <c r="A341">
        <v>340</v>
      </c>
      <c r="B341" t="s">
        <v>71</v>
      </c>
      <c r="C341" t="s">
        <v>72</v>
      </c>
      <c r="D341" t="s">
        <v>73</v>
      </c>
      <c r="E341" t="s">
        <v>74</v>
      </c>
      <c r="F341">
        <v>240442686</v>
      </c>
      <c r="G341">
        <v>6597830</v>
      </c>
      <c r="H341" t="s">
        <v>113</v>
      </c>
      <c r="I341" t="s">
        <v>76</v>
      </c>
      <c r="J341" t="s">
        <v>113</v>
      </c>
      <c r="K341" t="s">
        <v>568</v>
      </c>
      <c r="L341" t="s">
        <v>285</v>
      </c>
      <c r="M341" t="s">
        <v>285</v>
      </c>
      <c r="N341" t="s">
        <v>286</v>
      </c>
      <c r="O341" t="s">
        <v>569</v>
      </c>
      <c r="P341" t="s">
        <v>77</v>
      </c>
      <c r="Q341" t="s">
        <v>214</v>
      </c>
      <c r="R341" t="s">
        <v>215</v>
      </c>
      <c r="S341" t="s">
        <v>84</v>
      </c>
      <c r="T341">
        <v>41201</v>
      </c>
      <c r="U341" t="s">
        <v>85</v>
      </c>
      <c r="V341">
        <v>51201</v>
      </c>
      <c r="W341" t="s">
        <v>81</v>
      </c>
      <c r="X341">
        <v>240442686</v>
      </c>
      <c r="Y341" t="s">
        <v>74</v>
      </c>
      <c r="Z341">
        <v>1</v>
      </c>
      <c r="AA341" t="s">
        <v>123</v>
      </c>
      <c r="AB341">
        <v>811</v>
      </c>
      <c r="AC341">
        <v>0</v>
      </c>
      <c r="AD341">
        <v>0</v>
      </c>
      <c r="AE341">
        <v>811</v>
      </c>
      <c r="AF341">
        <v>811</v>
      </c>
      <c r="AG341">
        <v>360.98</v>
      </c>
      <c r="AH341">
        <v>360.98</v>
      </c>
      <c r="AI341">
        <v>450.02</v>
      </c>
      <c r="AJ341">
        <v>450.02</v>
      </c>
      <c r="AK341">
        <v>55.49</v>
      </c>
      <c r="AL341">
        <v>-121.65</v>
      </c>
      <c r="AM341">
        <v>811</v>
      </c>
      <c r="AN341">
        <v>-121.65</v>
      </c>
      <c r="AO341">
        <v>328.37</v>
      </c>
      <c r="AP341">
        <v>328.37</v>
      </c>
      <c r="AQ341">
        <v>47.634728000000003</v>
      </c>
    </row>
    <row r="342" spans="1:43" x14ac:dyDescent="0.25">
      <c r="A342">
        <v>341</v>
      </c>
      <c r="B342" t="s">
        <v>71</v>
      </c>
      <c r="C342" t="s">
        <v>72</v>
      </c>
      <c r="D342" t="s">
        <v>73</v>
      </c>
      <c r="E342" t="s">
        <v>74</v>
      </c>
      <c r="F342">
        <v>240442686</v>
      </c>
      <c r="G342">
        <v>6597830</v>
      </c>
      <c r="H342" t="s">
        <v>113</v>
      </c>
      <c r="I342" t="s">
        <v>76</v>
      </c>
      <c r="J342" t="s">
        <v>113</v>
      </c>
      <c r="K342" t="s">
        <v>568</v>
      </c>
      <c r="L342" t="s">
        <v>285</v>
      </c>
      <c r="M342" t="s">
        <v>285</v>
      </c>
      <c r="N342" t="s">
        <v>286</v>
      </c>
      <c r="O342" t="s">
        <v>569</v>
      </c>
      <c r="P342" t="s">
        <v>77</v>
      </c>
      <c r="Q342" t="s">
        <v>78</v>
      </c>
      <c r="R342" t="s">
        <v>143</v>
      </c>
      <c r="S342" t="s">
        <v>79</v>
      </c>
      <c r="T342">
        <v>43201</v>
      </c>
      <c r="U342" t="s">
        <v>129</v>
      </c>
      <c r="V342">
        <v>51201</v>
      </c>
      <c r="W342" t="s">
        <v>81</v>
      </c>
      <c r="X342">
        <v>240442686</v>
      </c>
      <c r="Y342" t="s">
        <v>74</v>
      </c>
      <c r="Z342">
        <v>0</v>
      </c>
      <c r="AA342" t="s">
        <v>123</v>
      </c>
      <c r="AB342">
        <v>121.65</v>
      </c>
      <c r="AC342">
        <v>0</v>
      </c>
      <c r="AD342">
        <v>0</v>
      </c>
      <c r="AE342">
        <v>121.65</v>
      </c>
      <c r="AF342">
        <v>-121.65</v>
      </c>
      <c r="AG342">
        <v>0</v>
      </c>
      <c r="AH342">
        <v>0</v>
      </c>
      <c r="AI342">
        <v>121.65</v>
      </c>
      <c r="AJ342">
        <v>-121.65</v>
      </c>
      <c r="AK342">
        <v>0</v>
      </c>
      <c r="AL342">
        <v>-121.65</v>
      </c>
      <c r="AM342">
        <v>811</v>
      </c>
      <c r="AN342">
        <v>0</v>
      </c>
      <c r="AO342">
        <v>0</v>
      </c>
      <c r="AP342">
        <v>0</v>
      </c>
      <c r="AQ342">
        <v>0</v>
      </c>
    </row>
    <row r="343" spans="1:43" x14ac:dyDescent="0.25">
      <c r="A343">
        <v>342</v>
      </c>
      <c r="B343" t="s">
        <v>71</v>
      </c>
      <c r="C343" t="s">
        <v>72</v>
      </c>
      <c r="D343" t="s">
        <v>73</v>
      </c>
      <c r="E343" t="s">
        <v>74</v>
      </c>
      <c r="F343">
        <v>240442687</v>
      </c>
      <c r="G343">
        <v>6597831</v>
      </c>
      <c r="H343" t="s">
        <v>113</v>
      </c>
      <c r="I343" t="s">
        <v>76</v>
      </c>
      <c r="J343" t="s">
        <v>113</v>
      </c>
      <c r="K343" t="s">
        <v>570</v>
      </c>
      <c r="L343" t="s">
        <v>285</v>
      </c>
      <c r="M343" t="s">
        <v>285</v>
      </c>
      <c r="N343" t="s">
        <v>286</v>
      </c>
      <c r="O343" t="s">
        <v>130</v>
      </c>
      <c r="P343" t="s">
        <v>77</v>
      </c>
      <c r="Q343" t="s">
        <v>247</v>
      </c>
      <c r="R343" t="s">
        <v>248</v>
      </c>
      <c r="S343" t="s">
        <v>84</v>
      </c>
      <c r="T343">
        <v>41201</v>
      </c>
      <c r="U343" t="s">
        <v>85</v>
      </c>
      <c r="V343">
        <v>51201</v>
      </c>
      <c r="W343" t="s">
        <v>81</v>
      </c>
      <c r="X343">
        <v>240442687</v>
      </c>
      <c r="Y343" t="s">
        <v>74</v>
      </c>
      <c r="Z343">
        <v>2</v>
      </c>
      <c r="AA343" t="s">
        <v>147</v>
      </c>
      <c r="AB343">
        <v>35</v>
      </c>
      <c r="AC343">
        <v>70</v>
      </c>
      <c r="AD343">
        <v>5.83</v>
      </c>
      <c r="AE343">
        <v>204.05</v>
      </c>
      <c r="AF343">
        <v>408.1</v>
      </c>
      <c r="AG343">
        <v>92.84</v>
      </c>
      <c r="AH343">
        <v>185.68</v>
      </c>
      <c r="AI343">
        <v>111.21</v>
      </c>
      <c r="AJ343">
        <v>222.42</v>
      </c>
      <c r="AK343">
        <v>54.5</v>
      </c>
      <c r="AL343">
        <v>0</v>
      </c>
      <c r="AM343">
        <v>408.1</v>
      </c>
      <c r="AN343">
        <v>0</v>
      </c>
      <c r="AO343">
        <v>111.21</v>
      </c>
      <c r="AP343">
        <v>222.42</v>
      </c>
      <c r="AQ343">
        <v>54.501347000000003</v>
      </c>
    </row>
    <row r="344" spans="1:43" x14ac:dyDescent="0.25">
      <c r="A344">
        <v>343</v>
      </c>
      <c r="B344" t="s">
        <v>71</v>
      </c>
      <c r="C344" t="s">
        <v>72</v>
      </c>
      <c r="D344" t="s">
        <v>73</v>
      </c>
      <c r="E344" t="s">
        <v>74</v>
      </c>
      <c r="F344">
        <v>240442723</v>
      </c>
      <c r="G344">
        <v>6597867</v>
      </c>
      <c r="H344" t="s">
        <v>113</v>
      </c>
      <c r="I344" t="s">
        <v>76</v>
      </c>
      <c r="J344" t="s">
        <v>113</v>
      </c>
      <c r="K344" t="s">
        <v>571</v>
      </c>
      <c r="L344" t="s">
        <v>285</v>
      </c>
      <c r="M344" t="s">
        <v>285</v>
      </c>
      <c r="N344" t="s">
        <v>286</v>
      </c>
      <c r="O344" t="s">
        <v>10</v>
      </c>
      <c r="P344" t="s">
        <v>77</v>
      </c>
      <c r="Q344" t="s">
        <v>115</v>
      </c>
      <c r="R344" t="s">
        <v>116</v>
      </c>
      <c r="S344" t="s">
        <v>105</v>
      </c>
      <c r="T344">
        <v>41201</v>
      </c>
      <c r="U344" t="s">
        <v>85</v>
      </c>
      <c r="V344">
        <v>51201</v>
      </c>
      <c r="W344" t="s">
        <v>81</v>
      </c>
      <c r="X344">
        <v>240442723</v>
      </c>
      <c r="Y344" t="s">
        <v>74</v>
      </c>
      <c r="Z344">
        <v>1</v>
      </c>
      <c r="AA344" t="s">
        <v>152</v>
      </c>
      <c r="AB344">
        <v>103.79</v>
      </c>
      <c r="AC344">
        <v>103.79</v>
      </c>
      <c r="AD344">
        <v>1.76</v>
      </c>
      <c r="AE344">
        <v>182.67</v>
      </c>
      <c r="AF344">
        <v>182.67</v>
      </c>
      <c r="AG344">
        <v>80.67</v>
      </c>
      <c r="AH344">
        <v>80.67</v>
      </c>
      <c r="AI344">
        <v>102</v>
      </c>
      <c r="AJ344">
        <v>102</v>
      </c>
      <c r="AK344">
        <v>55.84</v>
      </c>
      <c r="AL344">
        <v>-75.8</v>
      </c>
      <c r="AM344">
        <v>505.3</v>
      </c>
      <c r="AN344">
        <v>-27.4</v>
      </c>
      <c r="AO344">
        <v>74.599999999999994</v>
      </c>
      <c r="AP344">
        <v>74.599999999999994</v>
      </c>
      <c r="AQ344">
        <v>48.045340000000003</v>
      </c>
    </row>
    <row r="345" spans="1:43" x14ac:dyDescent="0.25">
      <c r="A345">
        <v>344</v>
      </c>
      <c r="B345" t="s">
        <v>71</v>
      </c>
      <c r="C345" t="s">
        <v>72</v>
      </c>
      <c r="D345" t="s">
        <v>73</v>
      </c>
      <c r="E345" t="s">
        <v>74</v>
      </c>
      <c r="F345">
        <v>240442723</v>
      </c>
      <c r="G345">
        <v>6597867</v>
      </c>
      <c r="H345" t="s">
        <v>113</v>
      </c>
      <c r="I345" t="s">
        <v>76</v>
      </c>
      <c r="J345" t="s">
        <v>113</v>
      </c>
      <c r="K345" t="s">
        <v>571</v>
      </c>
      <c r="L345" t="s">
        <v>285</v>
      </c>
      <c r="M345" t="s">
        <v>285</v>
      </c>
      <c r="N345" t="s">
        <v>286</v>
      </c>
      <c r="O345" t="s">
        <v>10</v>
      </c>
      <c r="P345" t="s">
        <v>77</v>
      </c>
      <c r="Q345" t="s">
        <v>118</v>
      </c>
      <c r="R345" t="s">
        <v>119</v>
      </c>
      <c r="S345" t="s">
        <v>105</v>
      </c>
      <c r="T345">
        <v>41201</v>
      </c>
      <c r="U345" t="s">
        <v>85</v>
      </c>
      <c r="V345">
        <v>51201</v>
      </c>
      <c r="W345" t="s">
        <v>81</v>
      </c>
      <c r="X345">
        <v>240442723</v>
      </c>
      <c r="Y345" t="s">
        <v>74</v>
      </c>
      <c r="Z345">
        <v>1</v>
      </c>
      <c r="AA345" t="s">
        <v>152</v>
      </c>
      <c r="AB345">
        <v>183.31</v>
      </c>
      <c r="AC345">
        <v>183.31</v>
      </c>
      <c r="AD345">
        <v>1.76</v>
      </c>
      <c r="AE345">
        <v>322.63</v>
      </c>
      <c r="AF345">
        <v>322.63</v>
      </c>
      <c r="AG345">
        <v>138.83000000000001</v>
      </c>
      <c r="AH345">
        <v>138.83000000000001</v>
      </c>
      <c r="AI345">
        <v>183.8</v>
      </c>
      <c r="AJ345">
        <v>183.8</v>
      </c>
      <c r="AK345">
        <v>56.97</v>
      </c>
      <c r="AL345">
        <v>-75.8</v>
      </c>
      <c r="AM345">
        <v>505.3</v>
      </c>
      <c r="AN345">
        <v>-48.4</v>
      </c>
      <c r="AO345">
        <v>135.4</v>
      </c>
      <c r="AP345">
        <v>135.4</v>
      </c>
      <c r="AQ345">
        <v>49.374611999999999</v>
      </c>
    </row>
    <row r="346" spans="1:43" x14ac:dyDescent="0.25">
      <c r="A346">
        <v>345</v>
      </c>
      <c r="B346" t="s">
        <v>71</v>
      </c>
      <c r="C346" t="s">
        <v>72</v>
      </c>
      <c r="D346" t="s">
        <v>73</v>
      </c>
      <c r="E346" t="s">
        <v>74</v>
      </c>
      <c r="F346">
        <v>240442723</v>
      </c>
      <c r="G346">
        <v>6597867</v>
      </c>
      <c r="H346" t="s">
        <v>113</v>
      </c>
      <c r="I346" t="s">
        <v>76</v>
      </c>
      <c r="J346" t="s">
        <v>113</v>
      </c>
      <c r="K346" t="s">
        <v>571</v>
      </c>
      <c r="L346" t="s">
        <v>285</v>
      </c>
      <c r="M346" t="s">
        <v>285</v>
      </c>
      <c r="N346" t="s">
        <v>286</v>
      </c>
      <c r="O346" t="s">
        <v>10</v>
      </c>
      <c r="P346" t="s">
        <v>77</v>
      </c>
      <c r="Q346" t="s">
        <v>78</v>
      </c>
      <c r="R346" t="s">
        <v>143</v>
      </c>
      <c r="S346" t="s">
        <v>79</v>
      </c>
      <c r="T346">
        <v>43201</v>
      </c>
      <c r="U346" t="s">
        <v>129</v>
      </c>
      <c r="V346">
        <v>51201</v>
      </c>
      <c r="W346" t="s">
        <v>81</v>
      </c>
      <c r="X346">
        <v>240442723</v>
      </c>
      <c r="Y346" t="s">
        <v>74</v>
      </c>
      <c r="Z346">
        <v>0</v>
      </c>
      <c r="AA346" t="s">
        <v>152</v>
      </c>
      <c r="AB346">
        <v>43.07</v>
      </c>
      <c r="AC346">
        <v>-43.07</v>
      </c>
      <c r="AD346">
        <v>1.76</v>
      </c>
      <c r="AE346">
        <v>75.8</v>
      </c>
      <c r="AF346">
        <v>-75.8</v>
      </c>
      <c r="AG346">
        <v>0</v>
      </c>
      <c r="AH346">
        <v>0</v>
      </c>
      <c r="AI346">
        <v>75.8</v>
      </c>
      <c r="AJ346">
        <v>-75.8</v>
      </c>
      <c r="AK346">
        <v>0</v>
      </c>
      <c r="AL346">
        <v>-75.8</v>
      </c>
      <c r="AM346">
        <v>505.3</v>
      </c>
      <c r="AN346">
        <v>0</v>
      </c>
      <c r="AO346">
        <v>0</v>
      </c>
      <c r="AP346">
        <v>0</v>
      </c>
      <c r="AQ346">
        <v>0</v>
      </c>
    </row>
    <row r="347" spans="1:43" x14ac:dyDescent="0.25">
      <c r="A347">
        <v>346</v>
      </c>
      <c r="B347" t="s">
        <v>71</v>
      </c>
      <c r="C347" t="s">
        <v>72</v>
      </c>
      <c r="D347" t="s">
        <v>73</v>
      </c>
      <c r="E347" t="s">
        <v>74</v>
      </c>
      <c r="F347">
        <v>240442746</v>
      </c>
      <c r="G347">
        <v>6597890</v>
      </c>
      <c r="H347" t="s">
        <v>113</v>
      </c>
      <c r="I347" t="s">
        <v>76</v>
      </c>
      <c r="J347" t="s">
        <v>113</v>
      </c>
      <c r="K347" t="s">
        <v>572</v>
      </c>
      <c r="L347" t="s">
        <v>285</v>
      </c>
      <c r="M347" t="s">
        <v>285</v>
      </c>
      <c r="N347" t="s">
        <v>286</v>
      </c>
      <c r="O347" t="s">
        <v>10</v>
      </c>
      <c r="P347" t="s">
        <v>77</v>
      </c>
      <c r="Q347" t="s">
        <v>470</v>
      </c>
      <c r="R347" t="s">
        <v>471</v>
      </c>
      <c r="S347" t="s">
        <v>84</v>
      </c>
      <c r="T347">
        <v>41201</v>
      </c>
      <c r="U347" t="s">
        <v>85</v>
      </c>
      <c r="V347">
        <v>51201</v>
      </c>
      <c r="W347" t="s">
        <v>81</v>
      </c>
      <c r="X347">
        <v>240442746</v>
      </c>
      <c r="Y347" t="s">
        <v>74</v>
      </c>
      <c r="Z347">
        <v>1</v>
      </c>
      <c r="AA347" t="s">
        <v>152</v>
      </c>
      <c r="AB347">
        <v>257.39999999999998</v>
      </c>
      <c r="AC347">
        <v>257.39999999999998</v>
      </c>
      <c r="AD347">
        <v>1.76</v>
      </c>
      <c r="AE347">
        <v>453.02</v>
      </c>
      <c r="AF347">
        <v>453.02</v>
      </c>
      <c r="AG347">
        <v>188</v>
      </c>
      <c r="AH347">
        <v>188</v>
      </c>
      <c r="AI347">
        <v>265.02</v>
      </c>
      <c r="AJ347">
        <v>265.02</v>
      </c>
      <c r="AK347">
        <v>58.5</v>
      </c>
      <c r="AL347">
        <v>-67.95</v>
      </c>
      <c r="AM347">
        <v>453.02</v>
      </c>
      <c r="AN347">
        <v>-67.95</v>
      </c>
      <c r="AO347">
        <v>197.07</v>
      </c>
      <c r="AP347">
        <v>197.07</v>
      </c>
      <c r="AQ347">
        <v>51.177706999999998</v>
      </c>
    </row>
    <row r="348" spans="1:43" x14ac:dyDescent="0.25">
      <c r="A348">
        <v>347</v>
      </c>
      <c r="B348" t="s">
        <v>71</v>
      </c>
      <c r="C348" t="s">
        <v>72</v>
      </c>
      <c r="D348" t="s">
        <v>73</v>
      </c>
      <c r="E348" t="s">
        <v>74</v>
      </c>
      <c r="F348">
        <v>240442746</v>
      </c>
      <c r="G348">
        <v>6597890</v>
      </c>
      <c r="H348" t="s">
        <v>113</v>
      </c>
      <c r="I348" t="s">
        <v>76</v>
      </c>
      <c r="J348" t="s">
        <v>113</v>
      </c>
      <c r="K348" t="s">
        <v>572</v>
      </c>
      <c r="L348" t="s">
        <v>285</v>
      </c>
      <c r="M348" t="s">
        <v>285</v>
      </c>
      <c r="N348" t="s">
        <v>286</v>
      </c>
      <c r="O348" t="s">
        <v>10</v>
      </c>
      <c r="P348" t="s">
        <v>77</v>
      </c>
      <c r="Q348" t="s">
        <v>78</v>
      </c>
      <c r="R348" t="s">
        <v>143</v>
      </c>
      <c r="S348" t="s">
        <v>79</v>
      </c>
      <c r="T348">
        <v>43201</v>
      </c>
      <c r="U348" t="s">
        <v>129</v>
      </c>
      <c r="V348">
        <v>51201</v>
      </c>
      <c r="W348" t="s">
        <v>81</v>
      </c>
      <c r="X348">
        <v>240442746</v>
      </c>
      <c r="Y348" t="s">
        <v>74</v>
      </c>
      <c r="Z348">
        <v>0</v>
      </c>
      <c r="AA348" t="s">
        <v>152</v>
      </c>
      <c r="AB348">
        <v>38.61</v>
      </c>
      <c r="AC348">
        <v>-38.61</v>
      </c>
      <c r="AD348">
        <v>1.76</v>
      </c>
      <c r="AE348">
        <v>67.95</v>
      </c>
      <c r="AF348">
        <v>-67.95</v>
      </c>
      <c r="AG348">
        <v>0</v>
      </c>
      <c r="AH348">
        <v>0</v>
      </c>
      <c r="AI348">
        <v>67.95</v>
      </c>
      <c r="AJ348">
        <v>-67.95</v>
      </c>
      <c r="AK348">
        <v>0</v>
      </c>
      <c r="AL348">
        <v>-67.95</v>
      </c>
      <c r="AM348">
        <v>453.02</v>
      </c>
      <c r="AN348">
        <v>0</v>
      </c>
      <c r="AO348">
        <v>0</v>
      </c>
      <c r="AP348">
        <v>0</v>
      </c>
      <c r="AQ348">
        <v>0</v>
      </c>
    </row>
    <row r="349" spans="1:43" x14ac:dyDescent="0.25">
      <c r="A349">
        <v>348</v>
      </c>
      <c r="B349" t="s">
        <v>71</v>
      </c>
      <c r="C349" t="s">
        <v>72</v>
      </c>
      <c r="D349" t="s">
        <v>73</v>
      </c>
      <c r="E349" t="s">
        <v>74</v>
      </c>
      <c r="F349">
        <v>240442843</v>
      </c>
      <c r="G349">
        <v>6597987</v>
      </c>
      <c r="H349" t="s">
        <v>113</v>
      </c>
      <c r="I349" t="s">
        <v>76</v>
      </c>
      <c r="J349" t="s">
        <v>113</v>
      </c>
      <c r="K349" t="s">
        <v>573</v>
      </c>
      <c r="L349" t="s">
        <v>285</v>
      </c>
      <c r="M349" t="s">
        <v>285</v>
      </c>
      <c r="N349" t="s">
        <v>286</v>
      </c>
      <c r="O349" t="s">
        <v>130</v>
      </c>
      <c r="P349" t="s">
        <v>77</v>
      </c>
      <c r="Q349" t="s">
        <v>196</v>
      </c>
      <c r="R349" t="s">
        <v>197</v>
      </c>
      <c r="S349" t="s">
        <v>84</v>
      </c>
      <c r="T349">
        <v>41201</v>
      </c>
      <c r="U349" t="s">
        <v>85</v>
      </c>
      <c r="V349">
        <v>51201</v>
      </c>
      <c r="W349" t="s">
        <v>81</v>
      </c>
      <c r="X349">
        <v>240442843</v>
      </c>
      <c r="Y349" t="s">
        <v>74</v>
      </c>
      <c r="Z349">
        <v>1</v>
      </c>
      <c r="AA349" t="s">
        <v>147</v>
      </c>
      <c r="AB349">
        <v>116</v>
      </c>
      <c r="AC349">
        <v>116</v>
      </c>
      <c r="AD349">
        <v>5.83</v>
      </c>
      <c r="AE349">
        <v>676.28</v>
      </c>
      <c r="AF349">
        <v>676.28</v>
      </c>
      <c r="AG349">
        <v>268.27</v>
      </c>
      <c r="AH349">
        <v>268.27</v>
      </c>
      <c r="AI349">
        <v>408.01</v>
      </c>
      <c r="AJ349">
        <v>408.01</v>
      </c>
      <c r="AK349">
        <v>60.33</v>
      </c>
      <c r="AL349">
        <v>-101.44</v>
      </c>
      <c r="AM349">
        <v>676.28</v>
      </c>
      <c r="AN349">
        <v>-101.44</v>
      </c>
      <c r="AO349">
        <v>306.57</v>
      </c>
      <c r="AP349">
        <v>306.57</v>
      </c>
      <c r="AQ349">
        <v>53.331361000000001</v>
      </c>
    </row>
    <row r="350" spans="1:43" x14ac:dyDescent="0.25">
      <c r="A350">
        <v>349</v>
      </c>
      <c r="B350" t="s">
        <v>71</v>
      </c>
      <c r="C350" t="s">
        <v>72</v>
      </c>
      <c r="D350" t="s">
        <v>73</v>
      </c>
      <c r="E350" t="s">
        <v>74</v>
      </c>
      <c r="F350">
        <v>240442843</v>
      </c>
      <c r="G350">
        <v>6597987</v>
      </c>
      <c r="H350" t="s">
        <v>113</v>
      </c>
      <c r="I350" t="s">
        <v>76</v>
      </c>
      <c r="J350" t="s">
        <v>113</v>
      </c>
      <c r="K350" t="s">
        <v>573</v>
      </c>
      <c r="L350" t="s">
        <v>285</v>
      </c>
      <c r="M350" t="s">
        <v>285</v>
      </c>
      <c r="N350" t="s">
        <v>286</v>
      </c>
      <c r="O350" t="s">
        <v>130</v>
      </c>
      <c r="P350" t="s">
        <v>77</v>
      </c>
      <c r="Q350" t="s">
        <v>78</v>
      </c>
      <c r="R350" t="s">
        <v>143</v>
      </c>
      <c r="S350" t="s">
        <v>79</v>
      </c>
      <c r="T350">
        <v>43201</v>
      </c>
      <c r="U350" t="s">
        <v>129</v>
      </c>
      <c r="V350">
        <v>51201</v>
      </c>
      <c r="W350" t="s">
        <v>81</v>
      </c>
      <c r="X350">
        <v>240442843</v>
      </c>
      <c r="Y350" t="s">
        <v>74</v>
      </c>
      <c r="Z350">
        <v>0</v>
      </c>
      <c r="AA350" t="s">
        <v>147</v>
      </c>
      <c r="AB350">
        <v>17.399999999999999</v>
      </c>
      <c r="AC350">
        <v>-17.399999999999999</v>
      </c>
      <c r="AD350">
        <v>5.83</v>
      </c>
      <c r="AE350">
        <v>101.44</v>
      </c>
      <c r="AF350">
        <v>-101.44</v>
      </c>
      <c r="AG350">
        <v>0</v>
      </c>
      <c r="AH350">
        <v>0</v>
      </c>
      <c r="AI350">
        <v>101.44</v>
      </c>
      <c r="AJ350">
        <v>-101.44</v>
      </c>
      <c r="AK350">
        <v>0</v>
      </c>
      <c r="AL350">
        <v>-101.44</v>
      </c>
      <c r="AM350">
        <v>676.28</v>
      </c>
      <c r="AN350">
        <v>0</v>
      </c>
      <c r="AO350">
        <v>0</v>
      </c>
      <c r="AP350">
        <v>0</v>
      </c>
      <c r="AQ350">
        <v>0</v>
      </c>
    </row>
    <row r="351" spans="1:43" x14ac:dyDescent="0.25">
      <c r="A351">
        <v>350</v>
      </c>
      <c r="B351" t="s">
        <v>71</v>
      </c>
      <c r="C351" t="s">
        <v>72</v>
      </c>
      <c r="D351" t="s">
        <v>73</v>
      </c>
      <c r="E351" t="s">
        <v>74</v>
      </c>
      <c r="F351">
        <v>240442858</v>
      </c>
      <c r="G351">
        <v>6598002</v>
      </c>
      <c r="H351" t="s">
        <v>113</v>
      </c>
      <c r="I351" t="s">
        <v>76</v>
      </c>
      <c r="J351" t="s">
        <v>113</v>
      </c>
      <c r="K351" t="s">
        <v>574</v>
      </c>
      <c r="L351" t="s">
        <v>285</v>
      </c>
      <c r="M351" t="s">
        <v>285</v>
      </c>
      <c r="N351" t="s">
        <v>286</v>
      </c>
      <c r="O351" t="s">
        <v>132</v>
      </c>
      <c r="P351" t="s">
        <v>77</v>
      </c>
      <c r="Q351" t="s">
        <v>189</v>
      </c>
      <c r="R351" t="s">
        <v>190</v>
      </c>
      <c r="S351" t="s">
        <v>84</v>
      </c>
      <c r="T351">
        <v>41201</v>
      </c>
      <c r="U351" t="s">
        <v>85</v>
      </c>
      <c r="V351">
        <v>51201</v>
      </c>
      <c r="W351" t="s">
        <v>81</v>
      </c>
      <c r="X351">
        <v>240442858</v>
      </c>
      <c r="Y351" t="s">
        <v>74</v>
      </c>
      <c r="Z351">
        <v>1</v>
      </c>
      <c r="AA351" t="s">
        <v>123</v>
      </c>
      <c r="AB351">
        <v>211</v>
      </c>
      <c r="AC351">
        <v>0</v>
      </c>
      <c r="AD351">
        <v>0</v>
      </c>
      <c r="AE351">
        <v>211</v>
      </c>
      <c r="AF351">
        <v>211</v>
      </c>
      <c r="AG351">
        <v>72.91</v>
      </c>
      <c r="AH351">
        <v>72.91</v>
      </c>
      <c r="AI351">
        <v>138.09</v>
      </c>
      <c r="AJ351">
        <v>138.09</v>
      </c>
      <c r="AK351">
        <v>65.45</v>
      </c>
      <c r="AL351">
        <v>-31.65</v>
      </c>
      <c r="AM351">
        <v>211</v>
      </c>
      <c r="AN351">
        <v>-31.65</v>
      </c>
      <c r="AO351">
        <v>106.44</v>
      </c>
      <c r="AP351">
        <v>106.44</v>
      </c>
      <c r="AQ351">
        <v>59.347644000000003</v>
      </c>
    </row>
    <row r="352" spans="1:43" x14ac:dyDescent="0.25">
      <c r="A352">
        <v>351</v>
      </c>
      <c r="B352" t="s">
        <v>71</v>
      </c>
      <c r="C352" t="s">
        <v>72</v>
      </c>
      <c r="D352" t="s">
        <v>73</v>
      </c>
      <c r="E352" t="s">
        <v>74</v>
      </c>
      <c r="F352">
        <v>240442858</v>
      </c>
      <c r="G352">
        <v>6598002</v>
      </c>
      <c r="H352" t="s">
        <v>113</v>
      </c>
      <c r="I352" t="s">
        <v>76</v>
      </c>
      <c r="J352" t="s">
        <v>113</v>
      </c>
      <c r="K352" t="s">
        <v>574</v>
      </c>
      <c r="L352" t="s">
        <v>285</v>
      </c>
      <c r="M352" t="s">
        <v>285</v>
      </c>
      <c r="N352" t="s">
        <v>286</v>
      </c>
      <c r="O352" t="s">
        <v>132</v>
      </c>
      <c r="P352" t="s">
        <v>77</v>
      </c>
      <c r="Q352" t="s">
        <v>78</v>
      </c>
      <c r="R352" t="s">
        <v>143</v>
      </c>
      <c r="S352" t="s">
        <v>79</v>
      </c>
      <c r="T352">
        <v>43201</v>
      </c>
      <c r="U352" t="s">
        <v>129</v>
      </c>
      <c r="V352">
        <v>51201</v>
      </c>
      <c r="W352" t="s">
        <v>81</v>
      </c>
      <c r="X352">
        <v>240442858</v>
      </c>
      <c r="Y352" t="s">
        <v>74</v>
      </c>
      <c r="Z352">
        <v>0</v>
      </c>
      <c r="AA352" t="s">
        <v>123</v>
      </c>
      <c r="AB352">
        <v>31.65</v>
      </c>
      <c r="AC352">
        <v>0</v>
      </c>
      <c r="AD352">
        <v>0</v>
      </c>
      <c r="AE352">
        <v>31.65</v>
      </c>
      <c r="AF352">
        <v>-31.65</v>
      </c>
      <c r="AG352">
        <v>0</v>
      </c>
      <c r="AH352">
        <v>0</v>
      </c>
      <c r="AI352">
        <v>31.65</v>
      </c>
      <c r="AJ352">
        <v>-31.65</v>
      </c>
      <c r="AK352">
        <v>0</v>
      </c>
      <c r="AL352">
        <v>-31.65</v>
      </c>
      <c r="AM352">
        <v>211</v>
      </c>
      <c r="AN352">
        <v>0</v>
      </c>
      <c r="AO352">
        <v>0</v>
      </c>
      <c r="AP352">
        <v>0</v>
      </c>
      <c r="AQ352">
        <v>0</v>
      </c>
    </row>
    <row r="353" spans="1:43" x14ac:dyDescent="0.25">
      <c r="A353">
        <v>352</v>
      </c>
      <c r="B353" t="s">
        <v>71</v>
      </c>
      <c r="C353" t="s">
        <v>72</v>
      </c>
      <c r="D353" t="s">
        <v>73</v>
      </c>
      <c r="E353" t="s">
        <v>74</v>
      </c>
      <c r="F353">
        <v>240442983</v>
      </c>
      <c r="G353">
        <v>6598127</v>
      </c>
      <c r="H353" t="s">
        <v>113</v>
      </c>
      <c r="I353" t="s">
        <v>76</v>
      </c>
      <c r="J353" t="s">
        <v>113</v>
      </c>
      <c r="K353" t="s">
        <v>575</v>
      </c>
      <c r="L353" t="s">
        <v>285</v>
      </c>
      <c r="M353" t="s">
        <v>285</v>
      </c>
      <c r="N353" t="s">
        <v>286</v>
      </c>
      <c r="O353" t="s">
        <v>130</v>
      </c>
      <c r="P353" t="s">
        <v>77</v>
      </c>
      <c r="Q353" t="s">
        <v>180</v>
      </c>
      <c r="R353" t="s">
        <v>181</v>
      </c>
      <c r="S353" t="s">
        <v>105</v>
      </c>
      <c r="T353">
        <v>41201</v>
      </c>
      <c r="U353" t="s">
        <v>85</v>
      </c>
      <c r="V353">
        <v>51201</v>
      </c>
      <c r="W353" t="s">
        <v>81</v>
      </c>
      <c r="X353">
        <v>240442983</v>
      </c>
      <c r="Y353" t="s">
        <v>74</v>
      </c>
      <c r="Z353">
        <v>1</v>
      </c>
      <c r="AA353" t="s">
        <v>147</v>
      </c>
      <c r="AB353">
        <v>91.8</v>
      </c>
      <c r="AC353">
        <v>91.8</v>
      </c>
      <c r="AD353">
        <v>5.83</v>
      </c>
      <c r="AE353">
        <v>535.19000000000005</v>
      </c>
      <c r="AF353">
        <v>535.19000000000005</v>
      </c>
      <c r="AG353">
        <v>238</v>
      </c>
      <c r="AH353">
        <v>238</v>
      </c>
      <c r="AI353">
        <v>297.19</v>
      </c>
      <c r="AJ353">
        <v>297.19</v>
      </c>
      <c r="AK353">
        <v>55.53</v>
      </c>
      <c r="AL353">
        <v>-157.41</v>
      </c>
      <c r="AM353">
        <v>1049.4000000000001</v>
      </c>
      <c r="AN353">
        <v>-80.28</v>
      </c>
      <c r="AO353">
        <v>216.91</v>
      </c>
      <c r="AP353">
        <v>216.91</v>
      </c>
      <c r="AQ353">
        <v>47.681958999999999</v>
      </c>
    </row>
    <row r="354" spans="1:43" x14ac:dyDescent="0.25">
      <c r="A354">
        <v>353</v>
      </c>
      <c r="B354" t="s">
        <v>71</v>
      </c>
      <c r="C354" t="s">
        <v>72</v>
      </c>
      <c r="D354" t="s">
        <v>73</v>
      </c>
      <c r="E354" t="s">
        <v>74</v>
      </c>
      <c r="F354">
        <v>240442983</v>
      </c>
      <c r="G354">
        <v>6598127</v>
      </c>
      <c r="H354" t="s">
        <v>113</v>
      </c>
      <c r="I354" t="s">
        <v>76</v>
      </c>
      <c r="J354" t="s">
        <v>113</v>
      </c>
      <c r="K354" t="s">
        <v>575</v>
      </c>
      <c r="L354" t="s">
        <v>285</v>
      </c>
      <c r="M354" t="s">
        <v>285</v>
      </c>
      <c r="N354" t="s">
        <v>286</v>
      </c>
      <c r="O354" t="s">
        <v>130</v>
      </c>
      <c r="P354" t="s">
        <v>77</v>
      </c>
      <c r="Q354" t="s">
        <v>178</v>
      </c>
      <c r="R354" t="s">
        <v>179</v>
      </c>
      <c r="S354" t="s">
        <v>105</v>
      </c>
      <c r="T354">
        <v>41201</v>
      </c>
      <c r="U354" t="s">
        <v>85</v>
      </c>
      <c r="V354">
        <v>51201</v>
      </c>
      <c r="W354" t="s">
        <v>81</v>
      </c>
      <c r="X354">
        <v>240442983</v>
      </c>
      <c r="Y354" t="s">
        <v>74</v>
      </c>
      <c r="Z354">
        <v>1</v>
      </c>
      <c r="AA354" t="s">
        <v>147</v>
      </c>
      <c r="AB354">
        <v>88.2</v>
      </c>
      <c r="AC354">
        <v>88.2</v>
      </c>
      <c r="AD354">
        <v>5.83</v>
      </c>
      <c r="AE354">
        <v>514.21</v>
      </c>
      <c r="AF354">
        <v>514.21</v>
      </c>
      <c r="AG354">
        <v>178.08</v>
      </c>
      <c r="AH354">
        <v>178.08</v>
      </c>
      <c r="AI354">
        <v>336.13</v>
      </c>
      <c r="AJ354">
        <v>336.13</v>
      </c>
      <c r="AK354">
        <v>65.37</v>
      </c>
      <c r="AL354">
        <v>-157.41</v>
      </c>
      <c r="AM354">
        <v>1049.4000000000001</v>
      </c>
      <c r="AN354">
        <v>-77.13</v>
      </c>
      <c r="AO354">
        <v>259</v>
      </c>
      <c r="AP354">
        <v>259</v>
      </c>
      <c r="AQ354">
        <v>59.256886000000002</v>
      </c>
    </row>
    <row r="355" spans="1:43" x14ac:dyDescent="0.25">
      <c r="A355">
        <v>354</v>
      </c>
      <c r="B355" t="s">
        <v>71</v>
      </c>
      <c r="C355" t="s">
        <v>72</v>
      </c>
      <c r="D355" t="s">
        <v>73</v>
      </c>
      <c r="E355" t="s">
        <v>74</v>
      </c>
      <c r="F355">
        <v>240442983</v>
      </c>
      <c r="G355">
        <v>6598127</v>
      </c>
      <c r="H355" t="s">
        <v>113</v>
      </c>
      <c r="I355" t="s">
        <v>76</v>
      </c>
      <c r="J355" t="s">
        <v>113</v>
      </c>
      <c r="K355" t="s">
        <v>575</v>
      </c>
      <c r="L355" t="s">
        <v>285</v>
      </c>
      <c r="M355" t="s">
        <v>285</v>
      </c>
      <c r="N355" t="s">
        <v>286</v>
      </c>
      <c r="O355" t="s">
        <v>130</v>
      </c>
      <c r="P355" t="s">
        <v>77</v>
      </c>
      <c r="Q355" t="s">
        <v>78</v>
      </c>
      <c r="R355" t="s">
        <v>143</v>
      </c>
      <c r="S355" t="s">
        <v>79</v>
      </c>
      <c r="T355">
        <v>43201</v>
      </c>
      <c r="U355" t="s">
        <v>129</v>
      </c>
      <c r="V355">
        <v>51201</v>
      </c>
      <c r="W355" t="s">
        <v>81</v>
      </c>
      <c r="X355">
        <v>240442983</v>
      </c>
      <c r="Y355" t="s">
        <v>74</v>
      </c>
      <c r="Z355">
        <v>0</v>
      </c>
      <c r="AA355" t="s">
        <v>147</v>
      </c>
      <c r="AB355">
        <v>27</v>
      </c>
      <c r="AC355">
        <v>-27</v>
      </c>
      <c r="AD355">
        <v>5.83</v>
      </c>
      <c r="AE355">
        <v>157.41</v>
      </c>
      <c r="AF355">
        <v>-157.41</v>
      </c>
      <c r="AG355">
        <v>0</v>
      </c>
      <c r="AH355">
        <v>0</v>
      </c>
      <c r="AI355">
        <v>157.41</v>
      </c>
      <c r="AJ355">
        <v>-157.41</v>
      </c>
      <c r="AK355">
        <v>0</v>
      </c>
      <c r="AL355">
        <v>-157.41</v>
      </c>
      <c r="AM355">
        <v>1049.4000000000001</v>
      </c>
      <c r="AN355">
        <v>0</v>
      </c>
      <c r="AO355">
        <v>0</v>
      </c>
      <c r="AP355">
        <v>0</v>
      </c>
      <c r="AQ355">
        <v>0</v>
      </c>
    </row>
    <row r="356" spans="1:43" x14ac:dyDescent="0.25">
      <c r="A356">
        <v>355</v>
      </c>
      <c r="B356" t="s">
        <v>71</v>
      </c>
      <c r="C356" t="s">
        <v>72</v>
      </c>
      <c r="D356" t="s">
        <v>73</v>
      </c>
      <c r="E356" t="s">
        <v>74</v>
      </c>
      <c r="F356">
        <v>240443145</v>
      </c>
      <c r="G356">
        <v>6598289</v>
      </c>
      <c r="H356" t="s">
        <v>113</v>
      </c>
      <c r="I356" t="s">
        <v>76</v>
      </c>
      <c r="J356" t="s">
        <v>113</v>
      </c>
      <c r="K356" t="s">
        <v>576</v>
      </c>
      <c r="L356" t="s">
        <v>285</v>
      </c>
      <c r="M356" t="s">
        <v>285</v>
      </c>
      <c r="N356" t="s">
        <v>286</v>
      </c>
      <c r="O356" t="s">
        <v>130</v>
      </c>
      <c r="P356" t="s">
        <v>77</v>
      </c>
      <c r="Q356" t="s">
        <v>229</v>
      </c>
      <c r="R356" t="s">
        <v>230</v>
      </c>
      <c r="S356" t="s">
        <v>84</v>
      </c>
      <c r="T356">
        <v>41201</v>
      </c>
      <c r="U356" t="s">
        <v>85</v>
      </c>
      <c r="V356">
        <v>51201</v>
      </c>
      <c r="W356" t="s">
        <v>81</v>
      </c>
      <c r="X356">
        <v>240443145</v>
      </c>
      <c r="Y356" t="s">
        <v>74</v>
      </c>
      <c r="Z356">
        <v>2</v>
      </c>
      <c r="AA356" t="s">
        <v>147</v>
      </c>
      <c r="AB356">
        <v>30.5</v>
      </c>
      <c r="AC356">
        <v>61</v>
      </c>
      <c r="AD356">
        <v>5.83</v>
      </c>
      <c r="AE356">
        <v>177.815</v>
      </c>
      <c r="AF356">
        <v>355.63</v>
      </c>
      <c r="AG356">
        <v>82.8</v>
      </c>
      <c r="AH356">
        <v>165.6</v>
      </c>
      <c r="AI356">
        <v>95.02</v>
      </c>
      <c r="AJ356">
        <v>190.03</v>
      </c>
      <c r="AK356">
        <v>53.43</v>
      </c>
      <c r="AL356">
        <v>0</v>
      </c>
      <c r="AM356">
        <v>355.63</v>
      </c>
      <c r="AN356">
        <v>0</v>
      </c>
      <c r="AO356">
        <v>95.015000000000001</v>
      </c>
      <c r="AP356">
        <v>190.03</v>
      </c>
      <c r="AQ356">
        <v>53.434748999999996</v>
      </c>
    </row>
    <row r="357" spans="1:43" x14ac:dyDescent="0.25">
      <c r="A357">
        <v>356</v>
      </c>
      <c r="B357" t="s">
        <v>71</v>
      </c>
      <c r="C357" t="s">
        <v>114</v>
      </c>
      <c r="D357" t="s">
        <v>73</v>
      </c>
      <c r="E357" t="s">
        <v>74</v>
      </c>
      <c r="F357">
        <v>240001172</v>
      </c>
      <c r="G357">
        <v>47739</v>
      </c>
      <c r="H357" t="s">
        <v>92</v>
      </c>
      <c r="I357" t="s">
        <v>76</v>
      </c>
      <c r="J357" t="s">
        <v>92</v>
      </c>
      <c r="K357" t="s">
        <v>577</v>
      </c>
      <c r="L357" t="s">
        <v>285</v>
      </c>
      <c r="M357" t="s">
        <v>285</v>
      </c>
      <c r="N357" t="s">
        <v>286</v>
      </c>
      <c r="O357" t="s">
        <v>578</v>
      </c>
      <c r="P357" t="s">
        <v>77</v>
      </c>
      <c r="Q357" t="s">
        <v>365</v>
      </c>
      <c r="R357" t="s">
        <v>93</v>
      </c>
      <c r="S357" t="s">
        <v>84</v>
      </c>
      <c r="T357">
        <v>42201</v>
      </c>
      <c r="U357" t="s">
        <v>117</v>
      </c>
      <c r="V357">
        <v>51201</v>
      </c>
      <c r="W357" t="s">
        <v>81</v>
      </c>
      <c r="X357">
        <v>240001172</v>
      </c>
      <c r="Y357" t="s">
        <v>74</v>
      </c>
      <c r="Z357">
        <v>-1</v>
      </c>
      <c r="AA357" t="s">
        <v>579</v>
      </c>
      <c r="AB357">
        <v>1900</v>
      </c>
      <c r="AC357">
        <v>-1900</v>
      </c>
      <c r="AD357">
        <v>0.24099999999999999</v>
      </c>
      <c r="AE357">
        <v>457.9</v>
      </c>
      <c r="AF357">
        <v>-457.9</v>
      </c>
      <c r="AG357">
        <v>255</v>
      </c>
      <c r="AH357">
        <v>-255</v>
      </c>
      <c r="AI357">
        <v>-202.9</v>
      </c>
      <c r="AJ357">
        <v>-202.9</v>
      </c>
      <c r="AK357">
        <v>-44.31</v>
      </c>
      <c r="AL357">
        <v>0</v>
      </c>
      <c r="AM357">
        <v>-457.9</v>
      </c>
      <c r="AN357">
        <v>0</v>
      </c>
      <c r="AO357">
        <v>-202.9</v>
      </c>
      <c r="AP357">
        <v>-202.9</v>
      </c>
      <c r="AQ357">
        <v>44.310983999999998</v>
      </c>
    </row>
    <row r="358" spans="1:43" x14ac:dyDescent="0.25">
      <c r="A358">
        <v>357</v>
      </c>
      <c r="B358" t="s">
        <v>71</v>
      </c>
      <c r="C358" t="s">
        <v>114</v>
      </c>
      <c r="D358" t="s">
        <v>73</v>
      </c>
      <c r="E358" t="s">
        <v>74</v>
      </c>
      <c r="F358">
        <v>240001175</v>
      </c>
      <c r="G358">
        <v>47742</v>
      </c>
      <c r="H358" t="s">
        <v>92</v>
      </c>
      <c r="I358" t="s">
        <v>76</v>
      </c>
      <c r="J358" t="s">
        <v>92</v>
      </c>
      <c r="K358" t="s">
        <v>580</v>
      </c>
      <c r="L358" t="s">
        <v>285</v>
      </c>
      <c r="M358" t="s">
        <v>285</v>
      </c>
      <c r="N358" t="s">
        <v>286</v>
      </c>
      <c r="O358" t="s">
        <v>578</v>
      </c>
      <c r="P358" t="s">
        <v>77</v>
      </c>
      <c r="Q358" t="s">
        <v>581</v>
      </c>
      <c r="R358" t="s">
        <v>582</v>
      </c>
      <c r="S358" t="s">
        <v>84</v>
      </c>
      <c r="T358">
        <v>42201</v>
      </c>
      <c r="U358" t="s">
        <v>117</v>
      </c>
      <c r="V358">
        <v>51201</v>
      </c>
      <c r="W358" t="s">
        <v>81</v>
      </c>
      <c r="X358">
        <v>240001175</v>
      </c>
      <c r="Y358" t="s">
        <v>74</v>
      </c>
      <c r="Z358">
        <v>-1</v>
      </c>
      <c r="AA358" t="s">
        <v>579</v>
      </c>
      <c r="AB358">
        <v>1395</v>
      </c>
      <c r="AC358">
        <v>-1395</v>
      </c>
      <c r="AD358">
        <v>0.24099999999999999</v>
      </c>
      <c r="AE358">
        <v>336.2</v>
      </c>
      <c r="AF358">
        <v>-336.2</v>
      </c>
      <c r="AG358">
        <v>154</v>
      </c>
      <c r="AH358">
        <v>-154</v>
      </c>
      <c r="AI358">
        <v>-182.2</v>
      </c>
      <c r="AJ358">
        <v>-182.2</v>
      </c>
      <c r="AK358">
        <v>-54.19</v>
      </c>
      <c r="AL358">
        <v>0</v>
      </c>
      <c r="AM358">
        <v>-336.2</v>
      </c>
      <c r="AN358">
        <v>0</v>
      </c>
      <c r="AO358">
        <v>-182.2</v>
      </c>
      <c r="AP358">
        <v>-182.2</v>
      </c>
      <c r="AQ358">
        <v>54.193931999999997</v>
      </c>
    </row>
  </sheetData>
  <pageMargins left="0.7" right="0.7" top="0.75" bottom="0.75" header="0.3" footer="0.3"/>
  <pageSetup orientation="portrait" r:id="rId1"/>
  <headerFooter>
    <oddFooter>&amp;C&amp;"Calibri,Regular"&amp;8Template produced by Jerrison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40"/>
  <sheetViews>
    <sheetView workbookViewId="0">
      <selection activeCell="B6" sqref="B6"/>
    </sheetView>
  </sheetViews>
  <sheetFormatPr defaultRowHeight="15" x14ac:dyDescent="0.25"/>
  <cols>
    <col min="1" max="1" width="67" bestFit="1" customWidth="1"/>
    <col min="2" max="2" width="21.85546875" customWidth="1"/>
    <col min="3" max="21" width="9.140625" customWidth="1"/>
  </cols>
  <sheetData>
    <row r="1" spans="1:2" ht="34.5" customHeight="1" x14ac:dyDescent="0.25">
      <c r="A1" s="30" t="s">
        <v>138</v>
      </c>
    </row>
    <row r="2" spans="1:2" x14ac:dyDescent="0.25">
      <c r="B2" s="1" t="s">
        <v>123</v>
      </c>
    </row>
    <row r="3" spans="1:2" s="34" customFormat="1" ht="29.25" customHeight="1" x14ac:dyDescent="0.25">
      <c r="A3" s="34" t="s">
        <v>120</v>
      </c>
      <c r="B3" s="35">
        <f>SUM(RawData!AF:AF)</f>
        <v>82988.03000000013</v>
      </c>
    </row>
    <row r="4" spans="1:2" x14ac:dyDescent="0.25">
      <c r="B4" s="31"/>
    </row>
    <row r="5" spans="1:2" x14ac:dyDescent="0.25">
      <c r="A5" s="32" t="s">
        <v>121</v>
      </c>
      <c r="B5" s="31"/>
    </row>
    <row r="6" spans="1:2" x14ac:dyDescent="0.25">
      <c r="A6" s="33" t="s">
        <v>124</v>
      </c>
      <c r="B6" s="31">
        <f>SUMIF(RawData!U:U,Print!A6,RawData!AF:AF)</f>
        <v>0</v>
      </c>
    </row>
    <row r="7" spans="1:2" x14ac:dyDescent="0.25">
      <c r="A7" s="33" t="s">
        <v>125</v>
      </c>
      <c r="B7" s="31">
        <f>SUMIF(RawData!U:U,Print!A7,RawData!AF:AF)</f>
        <v>0</v>
      </c>
    </row>
    <row r="8" spans="1:2" x14ac:dyDescent="0.25">
      <c r="A8" s="33" t="s">
        <v>126</v>
      </c>
      <c r="B8" s="31">
        <f>SUMIF(RawData!U:U,Print!A8,RawData!AF:AF)</f>
        <v>0</v>
      </c>
    </row>
    <row r="9" spans="1:2" x14ac:dyDescent="0.25">
      <c r="A9" s="33" t="s">
        <v>127</v>
      </c>
      <c r="B9" s="31">
        <f>SUMIF(RawData!U:U,Print!A9,RawData!AF:AF)</f>
        <v>0</v>
      </c>
    </row>
    <row r="10" spans="1:2" x14ac:dyDescent="0.25">
      <c r="A10" s="33" t="s">
        <v>128</v>
      </c>
      <c r="B10" s="31">
        <f>SUMIF(RawData!U:U,Print!A10,RawData!AF:AF)</f>
        <v>0</v>
      </c>
    </row>
    <row r="11" spans="1:2" x14ac:dyDescent="0.25">
      <c r="A11" s="33" t="s">
        <v>85</v>
      </c>
      <c r="B11" s="31">
        <f>SUMIF(RawData!U:U,Print!A11,RawData!AF:AF)</f>
        <v>97159.580000000045</v>
      </c>
    </row>
    <row r="12" spans="1:2" x14ac:dyDescent="0.25">
      <c r="A12" s="33" t="s">
        <v>80</v>
      </c>
      <c r="B12" s="31">
        <f>SUMIF(RawData!U:U,Print!A12,RawData!AF:AF)</f>
        <v>0</v>
      </c>
    </row>
    <row r="13" spans="1:2" x14ac:dyDescent="0.25">
      <c r="A13" s="33" t="s">
        <v>117</v>
      </c>
      <c r="B13" s="31">
        <f>SUMIF(RawData!U:U,Print!A13,RawData!AF:AF)</f>
        <v>-794.09999999999991</v>
      </c>
    </row>
    <row r="14" spans="1:2" x14ac:dyDescent="0.25">
      <c r="A14" s="33" t="s">
        <v>129</v>
      </c>
      <c r="B14" s="31">
        <f>SUMIF(RawData!U:U,Print!A14,RawData!AF:AF)</f>
        <v>-13377.449999999995</v>
      </c>
    </row>
    <row r="15" spans="1:2" x14ac:dyDescent="0.25">
      <c r="B15" s="31"/>
    </row>
    <row r="16" spans="1:2" x14ac:dyDescent="0.25">
      <c r="A16" s="32" t="s">
        <v>122</v>
      </c>
      <c r="B16" s="31"/>
    </row>
    <row r="17" spans="1:2" x14ac:dyDescent="0.25">
      <c r="A17" s="33" t="s">
        <v>130</v>
      </c>
      <c r="B17" s="31">
        <f>SUMIF(RawData!O:O,Print!A17,RawData!AF:AF)</f>
        <v>26431.830000000009</v>
      </c>
    </row>
    <row r="18" spans="1:2" x14ac:dyDescent="0.25">
      <c r="A18" s="33" t="s">
        <v>10</v>
      </c>
      <c r="B18" s="31">
        <f>SUMIF(RawData!O:O,Print!A18,RawData!AF:AF)</f>
        <v>35879.99</v>
      </c>
    </row>
    <row r="19" spans="1:2" x14ac:dyDescent="0.25">
      <c r="A19" s="33" t="s">
        <v>131</v>
      </c>
      <c r="B19" s="31">
        <f>SUMIF(RawData!O:O,Print!A19,RawData!AF:AF)</f>
        <v>1472.31</v>
      </c>
    </row>
    <row r="20" spans="1:2" x14ac:dyDescent="0.25">
      <c r="A20" s="33" t="s">
        <v>132</v>
      </c>
      <c r="B20" s="31">
        <f>SUMIF(RawData!O:O,Print!A20,RawData!AF:AF)</f>
        <v>19308.649999999998</v>
      </c>
    </row>
    <row r="21" spans="1:2" x14ac:dyDescent="0.25">
      <c r="A21" s="33" t="s">
        <v>133</v>
      </c>
      <c r="B21" s="31">
        <f>SUMIF(RawData!O:O,Print!A21,RawData!AF:AF)</f>
        <v>0</v>
      </c>
    </row>
    <row r="22" spans="1:2" x14ac:dyDescent="0.25">
      <c r="B22" s="31"/>
    </row>
    <row r="23" spans="1:2" x14ac:dyDescent="0.25">
      <c r="A23" s="32" t="s">
        <v>134</v>
      </c>
      <c r="B23" s="31"/>
    </row>
    <row r="24" spans="1:2" x14ac:dyDescent="0.25">
      <c r="A24" s="33" t="s">
        <v>84</v>
      </c>
      <c r="B24" s="31">
        <f>SUMIF(RawData!S:S,Print!A24,RawData!AF:AF)</f>
        <v>59638.869999999995</v>
      </c>
    </row>
    <row r="25" spans="1:2" x14ac:dyDescent="0.25">
      <c r="A25" s="33" t="s">
        <v>105</v>
      </c>
      <c r="B25" s="31">
        <f>SUMIF(RawData!S:S,Print!A25,RawData!AF:AF)</f>
        <v>30551.359999999997</v>
      </c>
    </row>
    <row r="26" spans="1:2" x14ac:dyDescent="0.25">
      <c r="A26" s="33" t="s">
        <v>135</v>
      </c>
      <c r="B26" s="31">
        <f>SUMIF(RawData!S:S,Print!A26,RawData!AF:AF)</f>
        <v>888.8</v>
      </c>
    </row>
    <row r="27" spans="1:2" x14ac:dyDescent="0.25">
      <c r="A27" s="33" t="s">
        <v>136</v>
      </c>
      <c r="B27" s="31">
        <f>SUMIF(RawData!S:S,Print!A27,RawData!AF:AF)</f>
        <v>1845.75</v>
      </c>
    </row>
    <row r="28" spans="1:2" x14ac:dyDescent="0.25">
      <c r="A28" s="33" t="s">
        <v>137</v>
      </c>
      <c r="B28" s="31">
        <f>SUMIF(RawData!S:S,Print!A28,RawData!AF:AF)</f>
        <v>745.84</v>
      </c>
    </row>
    <row r="29" spans="1:2" x14ac:dyDescent="0.25">
      <c r="B29" s="31"/>
    </row>
    <row r="30" spans="1:2" x14ac:dyDescent="0.25">
      <c r="B30" s="31"/>
    </row>
    <row r="31" spans="1:2" x14ac:dyDescent="0.25">
      <c r="B31" s="31"/>
    </row>
    <row r="32" spans="1:2" x14ac:dyDescent="0.25">
      <c r="B32" s="31"/>
    </row>
    <row r="33" spans="2:2" x14ac:dyDescent="0.25">
      <c r="B33" s="31"/>
    </row>
    <row r="34" spans="2:2" x14ac:dyDescent="0.25">
      <c r="B34" s="31"/>
    </row>
    <row r="35" spans="2:2" x14ac:dyDescent="0.25">
      <c r="B35" s="31"/>
    </row>
    <row r="36" spans="2:2" x14ac:dyDescent="0.25">
      <c r="B36" s="31"/>
    </row>
    <row r="37" spans="2:2" x14ac:dyDescent="0.25">
      <c r="B37" s="31"/>
    </row>
    <row r="38" spans="2:2" x14ac:dyDescent="0.25">
      <c r="B38" s="31"/>
    </row>
    <row r="39" spans="2:2" x14ac:dyDescent="0.25">
      <c r="B39" s="31"/>
    </row>
    <row r="40" spans="2:2" x14ac:dyDescent="0.25">
      <c r="B40" s="31"/>
    </row>
  </sheetData>
  <conditionalFormatting sqref="B1:B1048576">
    <cfRule type="cellIs" dxfId="0" priority="1" operator="lessThan">
      <formula>0</formula>
    </cfRule>
  </conditionalFormatting>
  <pageMargins left="0.7" right="0.7" top="0.75" bottom="0.75" header="0.3" footer="0.3"/>
  <pageSetup orientation="portrait" r:id="rId1"/>
  <headerFooter>
    <oddFooter>&amp;C&amp;"Calibri,Regular"&amp;8Template produced by Jerrison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79B14-E794-41E0-B274-4278D040F7E8}">
  <sheetPr codeName="Sheet4"/>
  <dimension ref="A1:H1652"/>
  <sheetViews>
    <sheetView workbookViewId="0">
      <pane ySplit="1" topLeftCell="A11" activePane="bottomLeft" state="frozen"/>
      <selection pane="bottomLeft" activeCell="A3" sqref="A3"/>
    </sheetView>
  </sheetViews>
  <sheetFormatPr defaultRowHeight="15" x14ac:dyDescent="0.25"/>
  <cols>
    <col min="1" max="1" width="23.28515625" customWidth="1"/>
    <col min="2" max="2" width="23.28515625" style="28" customWidth="1"/>
    <col min="3" max="3" width="23.28515625" customWidth="1"/>
    <col min="4" max="4" width="108.42578125" customWidth="1"/>
    <col min="5" max="5" width="43.85546875" customWidth="1"/>
  </cols>
  <sheetData>
    <row r="1" spans="1:8" x14ac:dyDescent="0.25">
      <c r="A1" s="26" t="s">
        <v>0</v>
      </c>
      <c r="B1" s="27" t="s">
        <v>1</v>
      </c>
      <c r="C1" s="26" t="s">
        <v>2</v>
      </c>
      <c r="D1" s="26" t="s">
        <v>19</v>
      </c>
      <c r="E1" s="26" t="s">
        <v>3</v>
      </c>
      <c r="H1" t="s">
        <v>2</v>
      </c>
    </row>
    <row r="2" spans="1:8" x14ac:dyDescent="0.25">
      <c r="A2" t="s">
        <v>20</v>
      </c>
      <c r="B2" s="28">
        <v>45341.446400462963</v>
      </c>
      <c r="C2" t="s">
        <v>17</v>
      </c>
      <c r="D2" t="s">
        <v>21</v>
      </c>
    </row>
    <row r="3" spans="1:8" x14ac:dyDescent="0.25">
      <c r="A3" t="s">
        <v>22</v>
      </c>
      <c r="B3" s="28">
        <v>45692.425729166665</v>
      </c>
      <c r="C3" t="s">
        <v>17</v>
      </c>
      <c r="D3" t="s">
        <v>31</v>
      </c>
      <c r="E3" t="s">
        <v>28</v>
      </c>
    </row>
    <row r="4" spans="1:8" x14ac:dyDescent="0.25">
      <c r="A4" t="s">
        <v>22</v>
      </c>
      <c r="B4" s="28">
        <v>45692.444699074076</v>
      </c>
      <c r="C4" t="s">
        <v>17</v>
      </c>
      <c r="D4" t="s">
        <v>33</v>
      </c>
      <c r="E4" t="s">
        <v>28</v>
      </c>
    </row>
    <row r="5" spans="1:8" x14ac:dyDescent="0.25">
      <c r="A5" t="s">
        <v>20</v>
      </c>
      <c r="B5" s="28">
        <v>45692.618136574078</v>
      </c>
      <c r="C5" t="s">
        <v>17</v>
      </c>
      <c r="D5" t="s">
        <v>24</v>
      </c>
      <c r="E5" t="s">
        <v>28</v>
      </c>
    </row>
    <row r="6" spans="1:8" x14ac:dyDescent="0.25">
      <c r="A6" t="s">
        <v>20</v>
      </c>
      <c r="B6" s="28">
        <v>45692.61855324074</v>
      </c>
      <c r="C6" t="s">
        <v>17</v>
      </c>
      <c r="D6" t="s">
        <v>25</v>
      </c>
      <c r="E6" t="s">
        <v>28</v>
      </c>
    </row>
    <row r="7" spans="1:8" x14ac:dyDescent="0.25">
      <c r="A7" t="s">
        <v>20</v>
      </c>
      <c r="B7" s="28">
        <v>45692.619259259256</v>
      </c>
      <c r="C7" t="s">
        <v>17</v>
      </c>
      <c r="D7" t="s">
        <v>24</v>
      </c>
      <c r="E7" t="s">
        <v>28</v>
      </c>
    </row>
    <row r="8" spans="1:8" x14ac:dyDescent="0.25">
      <c r="A8" t="s">
        <v>22</v>
      </c>
      <c r="B8" s="28">
        <v>45692.619270833333</v>
      </c>
      <c r="C8" t="s">
        <v>17</v>
      </c>
      <c r="D8" t="s">
        <v>139</v>
      </c>
      <c r="E8" t="s">
        <v>28</v>
      </c>
    </row>
    <row r="9" spans="1:8" x14ac:dyDescent="0.25">
      <c r="A9" t="s">
        <v>22</v>
      </c>
      <c r="B9" s="28">
        <v>45692.619351851848</v>
      </c>
      <c r="C9" t="s">
        <v>17</v>
      </c>
      <c r="D9" t="s">
        <v>140</v>
      </c>
      <c r="E9" t="s">
        <v>28</v>
      </c>
    </row>
    <row r="10" spans="1:8" x14ac:dyDescent="0.25">
      <c r="A10" t="s">
        <v>22</v>
      </c>
      <c r="B10" s="28">
        <v>45692.619432870371</v>
      </c>
      <c r="C10" t="s">
        <v>17</v>
      </c>
      <c r="D10" t="s">
        <v>141</v>
      </c>
      <c r="E10" t="s">
        <v>28</v>
      </c>
    </row>
    <row r="11" spans="1:8" x14ac:dyDescent="0.25">
      <c r="A11" t="s">
        <v>22</v>
      </c>
      <c r="B11" s="28">
        <v>45692.619467592594</v>
      </c>
      <c r="C11" t="s">
        <v>17</v>
      </c>
      <c r="D11" t="s">
        <v>142</v>
      </c>
      <c r="E11" t="s">
        <v>28</v>
      </c>
    </row>
    <row r="12" spans="1:8" x14ac:dyDescent="0.25">
      <c r="A12" t="s">
        <v>20</v>
      </c>
      <c r="B12" s="28">
        <v>45692.619502314818</v>
      </c>
      <c r="C12" t="s">
        <v>17</v>
      </c>
      <c r="D12" t="s">
        <v>25</v>
      </c>
      <c r="E12" t="s">
        <v>28</v>
      </c>
    </row>
    <row r="13" spans="1:8" x14ac:dyDescent="0.25">
      <c r="A13" t="s">
        <v>20</v>
      </c>
      <c r="B13" s="28">
        <v>45692.622604166667</v>
      </c>
      <c r="C13" t="s">
        <v>17</v>
      </c>
      <c r="D13" t="s">
        <v>24</v>
      </c>
      <c r="E13" t="s">
        <v>28</v>
      </c>
    </row>
    <row r="14" spans="1:8" x14ac:dyDescent="0.25">
      <c r="A14" t="s">
        <v>22</v>
      </c>
      <c r="B14" s="28">
        <v>45692.622615740744</v>
      </c>
      <c r="C14" t="s">
        <v>17</v>
      </c>
      <c r="D14" t="s">
        <v>139</v>
      </c>
      <c r="E14" t="s">
        <v>28</v>
      </c>
    </row>
    <row r="15" spans="1:8" x14ac:dyDescent="0.25">
      <c r="A15" t="s">
        <v>20</v>
      </c>
      <c r="B15" s="28">
        <v>45692.633611111109</v>
      </c>
      <c r="C15" t="s">
        <v>17</v>
      </c>
      <c r="D15" t="s">
        <v>24</v>
      </c>
      <c r="E15" t="s">
        <v>28</v>
      </c>
    </row>
    <row r="16" spans="1:8" x14ac:dyDescent="0.25">
      <c r="A16" t="s">
        <v>22</v>
      </c>
      <c r="B16" s="28">
        <v>45692.633622685185</v>
      </c>
      <c r="C16" t="s">
        <v>17</v>
      </c>
      <c r="D16" t="s">
        <v>139</v>
      </c>
      <c r="E16" t="s">
        <v>28</v>
      </c>
    </row>
    <row r="17" spans="1:5" x14ac:dyDescent="0.25">
      <c r="A17" t="s">
        <v>22</v>
      </c>
      <c r="B17" s="28">
        <v>45692.633784722224</v>
      </c>
      <c r="C17" t="s">
        <v>17</v>
      </c>
      <c r="D17" t="s">
        <v>140</v>
      </c>
      <c r="E17" t="s">
        <v>28</v>
      </c>
    </row>
    <row r="18" spans="1:5" x14ac:dyDescent="0.25">
      <c r="A18" t="s">
        <v>22</v>
      </c>
      <c r="B18" s="28">
        <v>45692.63386574074</v>
      </c>
      <c r="C18" t="s">
        <v>17</v>
      </c>
      <c r="D18" t="s">
        <v>141</v>
      </c>
      <c r="E18" t="s">
        <v>28</v>
      </c>
    </row>
    <row r="19" spans="1:5" x14ac:dyDescent="0.25">
      <c r="A19" t="s">
        <v>22</v>
      </c>
      <c r="B19" s="28">
        <v>45692.633935185186</v>
      </c>
      <c r="C19" t="s">
        <v>17</v>
      </c>
      <c r="D19" t="s">
        <v>142</v>
      </c>
      <c r="E19" t="s">
        <v>28</v>
      </c>
    </row>
    <row r="20" spans="1:5" x14ac:dyDescent="0.25">
      <c r="A20" t="s">
        <v>20</v>
      </c>
      <c r="B20" s="28">
        <v>45692.633993055555</v>
      </c>
      <c r="C20" t="s">
        <v>17</v>
      </c>
      <c r="D20" t="s">
        <v>25</v>
      </c>
      <c r="E20" t="s">
        <v>28</v>
      </c>
    </row>
    <row r="21" spans="1:5" x14ac:dyDescent="0.25">
      <c r="A21" t="s">
        <v>20</v>
      </c>
      <c r="B21" s="28">
        <v>45692.637407407405</v>
      </c>
      <c r="C21" t="s">
        <v>17</v>
      </c>
      <c r="D21" t="s">
        <v>24</v>
      </c>
      <c r="E21" t="s">
        <v>28</v>
      </c>
    </row>
    <row r="22" spans="1:5" x14ac:dyDescent="0.25">
      <c r="A22" t="s">
        <v>22</v>
      </c>
      <c r="B22" s="28">
        <v>45692.637418981481</v>
      </c>
      <c r="C22" t="s">
        <v>17</v>
      </c>
      <c r="D22" t="s">
        <v>139</v>
      </c>
      <c r="E22" t="s">
        <v>28</v>
      </c>
    </row>
    <row r="23" spans="1:5" x14ac:dyDescent="0.25">
      <c r="A23" t="s">
        <v>22</v>
      </c>
      <c r="B23" s="28">
        <v>45692.637858796297</v>
      </c>
      <c r="C23" t="s">
        <v>17</v>
      </c>
      <c r="D23" t="s">
        <v>140</v>
      </c>
      <c r="E23" t="s">
        <v>28</v>
      </c>
    </row>
    <row r="24" spans="1:5" x14ac:dyDescent="0.25">
      <c r="A24" t="s">
        <v>22</v>
      </c>
      <c r="B24" s="28">
        <v>45692.63790509259</v>
      </c>
      <c r="C24" t="s">
        <v>17</v>
      </c>
      <c r="D24" t="s">
        <v>141</v>
      </c>
      <c r="E24" t="s">
        <v>28</v>
      </c>
    </row>
    <row r="25" spans="1:5" x14ac:dyDescent="0.25">
      <c r="A25" t="s">
        <v>22</v>
      </c>
      <c r="B25" s="28">
        <v>45692.637928240743</v>
      </c>
      <c r="C25" t="s">
        <v>17</v>
      </c>
      <c r="D25" t="s">
        <v>142</v>
      </c>
      <c r="E25" t="s">
        <v>28</v>
      </c>
    </row>
    <row r="26" spans="1:5" x14ac:dyDescent="0.25">
      <c r="A26" t="s">
        <v>20</v>
      </c>
      <c r="B26" s="28">
        <v>45692.637962962966</v>
      </c>
      <c r="C26" t="s">
        <v>17</v>
      </c>
      <c r="D26" t="s">
        <v>25</v>
      </c>
      <c r="E26" t="s">
        <v>28</v>
      </c>
    </row>
    <row r="27" spans="1:5" x14ac:dyDescent="0.25">
      <c r="A27" t="s">
        <v>20</v>
      </c>
      <c r="B27" s="28">
        <v>45692.654108796298</v>
      </c>
      <c r="C27" t="s">
        <v>17</v>
      </c>
      <c r="D27" t="s">
        <v>24</v>
      </c>
      <c r="E27" t="s">
        <v>28</v>
      </c>
    </row>
    <row r="28" spans="1:5" x14ac:dyDescent="0.25">
      <c r="A28" t="s">
        <v>22</v>
      </c>
      <c r="B28" s="28">
        <v>45692.654120370367</v>
      </c>
      <c r="C28" t="s">
        <v>17</v>
      </c>
      <c r="D28" t="s">
        <v>139</v>
      </c>
      <c r="E28" t="s">
        <v>28</v>
      </c>
    </row>
    <row r="29" spans="1:5" x14ac:dyDescent="0.25">
      <c r="A29" t="s">
        <v>22</v>
      </c>
      <c r="B29" s="28">
        <v>45692.654236111113</v>
      </c>
      <c r="C29" t="s">
        <v>17</v>
      </c>
      <c r="D29" t="s">
        <v>140</v>
      </c>
      <c r="E29" t="s">
        <v>28</v>
      </c>
    </row>
    <row r="30" spans="1:5" x14ac:dyDescent="0.25">
      <c r="A30" t="s">
        <v>22</v>
      </c>
      <c r="B30" s="28">
        <v>45692.654317129629</v>
      </c>
      <c r="C30" t="s">
        <v>17</v>
      </c>
      <c r="D30" t="s">
        <v>141</v>
      </c>
      <c r="E30" t="s">
        <v>28</v>
      </c>
    </row>
    <row r="31" spans="1:5" x14ac:dyDescent="0.25">
      <c r="A31" t="s">
        <v>22</v>
      </c>
      <c r="B31" s="28">
        <v>45692.654374999998</v>
      </c>
      <c r="C31" t="s">
        <v>17</v>
      </c>
      <c r="D31" t="s">
        <v>142</v>
      </c>
      <c r="E31" t="s">
        <v>28</v>
      </c>
    </row>
    <row r="32" spans="1:5" x14ac:dyDescent="0.25">
      <c r="A32" t="s">
        <v>20</v>
      </c>
      <c r="B32" s="28">
        <v>45692.654432870368</v>
      </c>
      <c r="C32" t="s">
        <v>17</v>
      </c>
      <c r="D32" t="s">
        <v>25</v>
      </c>
      <c r="E32" t="s">
        <v>28</v>
      </c>
    </row>
    <row r="33" spans="1:6" x14ac:dyDescent="0.25">
      <c r="A33" t="e">
        <v>#REF!</v>
      </c>
      <c r="B33" s="28">
        <v>45925.499062499999</v>
      </c>
      <c r="C33" t="s">
        <v>17</v>
      </c>
      <c r="D33" t="s">
        <v>24</v>
      </c>
      <c r="E33" t="s">
        <v>28</v>
      </c>
    </row>
    <row r="34" spans="1:6" x14ac:dyDescent="0.25">
      <c r="A34" t="e">
        <v>#REF!</v>
      </c>
      <c r="B34" s="28">
        <v>45925.499062499999</v>
      </c>
      <c r="C34" t="s">
        <v>17</v>
      </c>
      <c r="D34" t="s">
        <v>25</v>
      </c>
      <c r="E34" t="s">
        <v>28</v>
      </c>
      <c r="F34" t="s">
        <v>2</v>
      </c>
    </row>
    <row r="880" spans="5:5" x14ac:dyDescent="0.25">
      <c r="E880" s="29"/>
    </row>
    <row r="1477" spans="6:6" x14ac:dyDescent="0.25">
      <c r="F1477" t="s">
        <v>23</v>
      </c>
    </row>
    <row r="1501" spans="6:6" x14ac:dyDescent="0.25">
      <c r="F1501" t="s">
        <v>23</v>
      </c>
    </row>
    <row r="1531" spans="6:6" x14ac:dyDescent="0.25">
      <c r="F1531" t="s">
        <v>23</v>
      </c>
    </row>
    <row r="1534" spans="6:6" x14ac:dyDescent="0.25">
      <c r="F1534" t="s">
        <v>23</v>
      </c>
    </row>
    <row r="1536" spans="6:6" x14ac:dyDescent="0.25">
      <c r="F1536" t="s">
        <v>23</v>
      </c>
    </row>
    <row r="1542" spans="6:6" x14ac:dyDescent="0.25">
      <c r="F1542" t="s">
        <v>23</v>
      </c>
    </row>
    <row r="1552" spans="6:6" x14ac:dyDescent="0.25">
      <c r="F1552" t="s">
        <v>23</v>
      </c>
    </row>
    <row r="1553" spans="6:6" x14ac:dyDescent="0.25">
      <c r="F1553" t="s">
        <v>23</v>
      </c>
    </row>
    <row r="1557" spans="6:6" x14ac:dyDescent="0.25">
      <c r="F1557" t="s">
        <v>23</v>
      </c>
    </row>
    <row r="1559" spans="6:6" x14ac:dyDescent="0.25">
      <c r="F1559" t="s">
        <v>23</v>
      </c>
    </row>
    <row r="1561" spans="6:6" x14ac:dyDescent="0.25">
      <c r="F1561" t="s">
        <v>23</v>
      </c>
    </row>
    <row r="1566" spans="6:6" x14ac:dyDescent="0.25">
      <c r="F1566" t="s">
        <v>23</v>
      </c>
    </row>
    <row r="1576" spans="6:6" x14ac:dyDescent="0.25">
      <c r="F1576" t="s">
        <v>23</v>
      </c>
    </row>
    <row r="1578" spans="6:6" x14ac:dyDescent="0.25">
      <c r="F1578" t="s">
        <v>23</v>
      </c>
    </row>
    <row r="1580" spans="6:6" x14ac:dyDescent="0.25">
      <c r="F1580" t="s">
        <v>23</v>
      </c>
    </row>
    <row r="1584" spans="6:6" x14ac:dyDescent="0.25">
      <c r="F1584" t="s">
        <v>23</v>
      </c>
    </row>
    <row r="1586" spans="6:6" x14ac:dyDescent="0.25">
      <c r="F1586" t="s">
        <v>23</v>
      </c>
    </row>
    <row r="1619" spans="6:6" x14ac:dyDescent="0.25">
      <c r="F1619" t="s">
        <v>23</v>
      </c>
    </row>
    <row r="1623" spans="6:6" x14ac:dyDescent="0.25">
      <c r="F1623" t="s">
        <v>23</v>
      </c>
    </row>
    <row r="1626" spans="6:6" x14ac:dyDescent="0.25">
      <c r="F1626" t="s">
        <v>23</v>
      </c>
    </row>
    <row r="1628" spans="6:6" x14ac:dyDescent="0.25">
      <c r="F1628" t="s">
        <v>23</v>
      </c>
    </row>
    <row r="1630" spans="6:6" x14ac:dyDescent="0.25">
      <c r="F1630" t="s">
        <v>23</v>
      </c>
    </row>
    <row r="1646" spans="6:6" x14ac:dyDescent="0.25">
      <c r="F1646" t="s">
        <v>23</v>
      </c>
    </row>
    <row r="1648" spans="6:6" x14ac:dyDescent="0.25">
      <c r="F1648" t="s">
        <v>23</v>
      </c>
    </row>
    <row r="1650" spans="6:6" x14ac:dyDescent="0.25">
      <c r="F1650" t="s">
        <v>23</v>
      </c>
    </row>
    <row r="1652" spans="6:6" x14ac:dyDescent="0.25">
      <c r="F1652" t="s">
        <v>2</v>
      </c>
    </row>
  </sheetData>
  <sheetProtection algorithmName="SHA-512" hashValue="9KbCoNciMZqMWb2eInH7tIC7RbdOvX4FdnvbD2QzQ//4G6g1SoMQDtnhrpiGJB64TEVR/5dlP3UyJDEnuqDZTA==" saltValue="SJbWYe1+0SNfpr7WoaiC4A==" spinCount="100000" sheet="1" objects="1" scenarios="1"/>
  <pageMargins left="0.7" right="0.7" top="0.75" bottom="0.75" header="0.3" footer="0.3"/>
  <pageSetup orientation="portrait" r:id="rId1"/>
  <headerFooter>
    <oddFooter>&amp;C&amp;"Calibri,Regular"&amp;8Template produced by Jerrison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11</vt:i4>
      </vt:variant>
    </vt:vector>
  </HeadingPairs>
  <TitlesOfParts>
    <vt:vector size="15" baseType="lpstr">
      <vt:lpstr>Dashboard</vt:lpstr>
      <vt:lpstr>RawData</vt:lpstr>
      <vt:lpstr>Print</vt:lpstr>
      <vt:lpstr>LOG</vt:lpstr>
      <vt:lpstr>LOG!Current_Period</vt:lpstr>
      <vt:lpstr>Current_Period</vt:lpstr>
      <vt:lpstr>Date</vt:lpstr>
      <vt:lpstr>Folder_Location</vt:lpstr>
      <vt:lpstr>Folder_Navigation</vt:lpstr>
      <vt:lpstr>Last_Execution_Status</vt:lpstr>
      <vt:lpstr>Start_Time</vt:lpstr>
      <vt:lpstr>Status</vt:lpstr>
      <vt:lpstr>Subject</vt:lpstr>
      <vt:lpstr>Time_Taken</vt:lpstr>
      <vt:lpstr>UserName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JerrisonSignature</dc:creator>
  <dc:description>Template produced by Jerrison | Repo: VBA-Utility-Library/vba-file-folder-utils | v2025-08-20 | SignedOn=2025-08-20 10:06 | GUID=RND-20250820100613-500541</dc:description>
  <cp:lastModifiedBy>Jerrison Chai</cp:lastModifiedBy>
  <cp:lastPrinted>2025-02-04T07:42:21Z</cp:lastPrinted>
  <dcterms:created xsi:type="dcterms:W3CDTF">2024-04-25T07:56:47Z</dcterms:created>
  <dcterms:modified xsi:type="dcterms:W3CDTF">2025-09-25T03:59:33Z</dcterms:modified>
</cp:coreProperties>
</file>